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24226"/>
  <xr:revisionPtr revIDLastSave="0" documentId="8_{1E5F9A1B-C4A7-4117-BBD1-7C8FF2063E7C}" xr6:coauthVersionLast="47" xr6:coauthVersionMax="47" xr10:uidLastSave="{00000000-0000-0000-0000-000000000000}"/>
  <bookViews>
    <workbookView xWindow="384" yWindow="96" windowWidth="14292" windowHeight="5808" xr2:uid="{00000000-000D-0000-FFFF-FFFF00000000}"/>
  </bookViews>
  <sheets>
    <sheet name="Historical Data" sheetId="3" r:id="rId1"/>
    <sheet name="Assumptions" sheetId="2" r:id="rId2"/>
    <sheet name="Financial Model" sheetId="5" r:id="rId3"/>
    <sheet name="Operational Drivers and Metric" sheetId="4" r:id="rId4"/>
    <sheet name="Valuation Outpu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E25" i="4"/>
  <c r="D26" i="4"/>
  <c r="E26" i="4"/>
  <c r="D27" i="4"/>
  <c r="E27" i="4"/>
  <c r="C27" i="4"/>
  <c r="C26" i="4"/>
  <c r="C25" i="4"/>
  <c r="D24" i="4"/>
  <c r="E24" i="4"/>
  <c r="C24" i="4"/>
  <c r="D23" i="4"/>
  <c r="E23" i="4"/>
  <c r="C23" i="4"/>
  <c r="D22" i="4"/>
  <c r="E22" i="4"/>
  <c r="C22" i="4"/>
  <c r="E4" i="4"/>
  <c r="D9" i="4"/>
  <c r="E9" i="4"/>
  <c r="D10" i="4"/>
  <c r="E10" i="4"/>
  <c r="D11" i="4"/>
  <c r="E11" i="4"/>
  <c r="C11" i="4"/>
  <c r="C10" i="4"/>
  <c r="C9" i="4"/>
  <c r="D4" i="4"/>
  <c r="F57" i="6"/>
  <c r="F56" i="6"/>
  <c r="D62" i="6" s="1"/>
  <c r="D63" i="6" s="1"/>
  <c r="F55" i="6"/>
  <c r="H34" i="6"/>
  <c r="G34" i="6"/>
  <c r="G75" i="5"/>
  <c r="H75" i="5"/>
  <c r="G87" i="5"/>
  <c r="H87" i="5"/>
  <c r="G10" i="5"/>
  <c r="H10" i="5"/>
  <c r="F34" i="6"/>
  <c r="E34" i="6"/>
  <c r="D34" i="6"/>
  <c r="C23" i="6"/>
  <c r="D44" i="6" s="1"/>
  <c r="E87" i="5"/>
  <c r="F87" i="5"/>
  <c r="D87" i="5"/>
  <c r="E75" i="5"/>
  <c r="F75" i="5"/>
  <c r="D75" i="5"/>
  <c r="C52" i="5"/>
  <c r="C23" i="5"/>
  <c r="C25" i="5"/>
  <c r="C24" i="5"/>
  <c r="C67" i="5"/>
  <c r="D92" i="5"/>
  <c r="C21" i="5"/>
  <c r="D24" i="2"/>
  <c r="E31" i="5" s="1"/>
  <c r="E24" i="2"/>
  <c r="C24" i="2"/>
  <c r="D31" i="5" s="1"/>
  <c r="C47" i="5"/>
  <c r="C27" i="5"/>
  <c r="C59" i="5"/>
  <c r="C58" i="5"/>
  <c r="C57" i="5"/>
  <c r="C56" i="5"/>
  <c r="C55" i="5"/>
  <c r="C51" i="5"/>
  <c r="C50" i="5"/>
  <c r="C49" i="5"/>
  <c r="C45" i="5"/>
  <c r="C44" i="5"/>
  <c r="C46" i="5" s="1"/>
  <c r="C37" i="5"/>
  <c r="C36" i="5"/>
  <c r="C35" i="5"/>
  <c r="C34" i="5"/>
  <c r="C33" i="5"/>
  <c r="C32" i="5"/>
  <c r="C31" i="5"/>
  <c r="C30" i="5"/>
  <c r="C22" i="5"/>
  <c r="D17" i="4"/>
  <c r="E17" i="4"/>
  <c r="C17" i="4"/>
  <c r="D18" i="4"/>
  <c r="E18" i="4"/>
  <c r="C18" i="4"/>
  <c r="D16" i="4"/>
  <c r="E16" i="4"/>
  <c r="C16" i="4"/>
  <c r="C29" i="5"/>
  <c r="E10" i="5"/>
  <c r="F10" i="5"/>
  <c r="D10" i="5"/>
  <c r="C5" i="5"/>
  <c r="D5" i="5" s="1"/>
  <c r="D68" i="5" s="1"/>
  <c r="C4" i="5"/>
  <c r="D130" i="3"/>
  <c r="D135" i="3" s="1"/>
  <c r="E130" i="3"/>
  <c r="E135" i="3" s="1"/>
  <c r="C130" i="3"/>
  <c r="C135" i="3" s="1"/>
  <c r="E122" i="3"/>
  <c r="E134" i="3" s="1"/>
  <c r="D122" i="3"/>
  <c r="D134" i="3" s="1"/>
  <c r="C122" i="3"/>
  <c r="C134" i="3" s="1"/>
  <c r="E109" i="3"/>
  <c r="D109" i="3"/>
  <c r="C109" i="3"/>
  <c r="E83" i="3"/>
  <c r="D83" i="3"/>
  <c r="C83" i="3"/>
  <c r="D74" i="3"/>
  <c r="E74" i="3"/>
  <c r="C74" i="3"/>
  <c r="C84" i="3" s="1"/>
  <c r="E66" i="3"/>
  <c r="D66" i="3"/>
  <c r="C66" i="3"/>
  <c r="C86" i="3" s="1"/>
  <c r="E58" i="3"/>
  <c r="E47" i="3"/>
  <c r="E60" i="3" s="1"/>
  <c r="C58" i="3"/>
  <c r="D58" i="3"/>
  <c r="D47" i="3"/>
  <c r="D60" i="3" s="1"/>
  <c r="C47" i="3"/>
  <c r="C60" i="3" s="1"/>
  <c r="C142" i="3" s="1"/>
  <c r="E26" i="3"/>
  <c r="D26" i="3"/>
  <c r="C26" i="3"/>
  <c r="E17" i="3"/>
  <c r="D17" i="3"/>
  <c r="C17" i="3"/>
  <c r="C6" i="4" s="1"/>
  <c r="C7" i="4" s="1"/>
  <c r="D27" i="3" l="1"/>
  <c r="D12" i="4" s="1"/>
  <c r="D6" i="4"/>
  <c r="D7" i="4" s="1"/>
  <c r="E27" i="3"/>
  <c r="E12" i="4" s="1"/>
  <c r="E6" i="4"/>
  <c r="E7" i="4" s="1"/>
  <c r="C16" i="2"/>
  <c r="C28" i="5"/>
  <c r="C60" i="5"/>
  <c r="D49" i="5"/>
  <c r="C53" i="5"/>
  <c r="D81" i="5"/>
  <c r="C32" i="6"/>
  <c r="D55" i="5"/>
  <c r="C38" i="5"/>
  <c r="D76" i="5"/>
  <c r="D86" i="5"/>
  <c r="D89" i="5" s="1"/>
  <c r="F76" i="5"/>
  <c r="F86" i="5"/>
  <c r="F89" i="5" s="1"/>
  <c r="E76" i="5"/>
  <c r="E86" i="5"/>
  <c r="E89" i="5" s="1"/>
  <c r="F21" i="2"/>
  <c r="F24" i="2" s="1"/>
  <c r="F31" i="5"/>
  <c r="E49" i="5"/>
  <c r="E53" i="5" s="1"/>
  <c r="H76" i="5"/>
  <c r="H86" i="5"/>
  <c r="H89" i="5" s="1"/>
  <c r="G76" i="5"/>
  <c r="G86" i="5"/>
  <c r="G89" i="5" s="1"/>
  <c r="E5" i="5"/>
  <c r="C6" i="5"/>
  <c r="D4" i="5"/>
  <c r="C27" i="3"/>
  <c r="D29" i="3"/>
  <c r="D8" i="4" s="1"/>
  <c r="E29" i="3"/>
  <c r="E8" i="4" s="1"/>
  <c r="D84" i="3"/>
  <c r="E84" i="3"/>
  <c r="C29" i="3" l="1"/>
  <c r="C8" i="4" s="1"/>
  <c r="C12" i="4"/>
  <c r="D86" i="3"/>
  <c r="D142" i="3"/>
  <c r="E55" i="5"/>
  <c r="C40" i="5"/>
  <c r="C62" i="5"/>
  <c r="C95" i="5" s="1"/>
  <c r="C4" i="6"/>
  <c r="C3" i="6"/>
  <c r="E68" i="5"/>
  <c r="E81" i="5"/>
  <c r="D53" i="5"/>
  <c r="D26" i="5"/>
  <c r="D9" i="5"/>
  <c r="D29" i="6" s="1"/>
  <c r="D7" i="5"/>
  <c r="D22" i="5" s="1"/>
  <c r="D71" i="5" s="1"/>
  <c r="F55" i="5"/>
  <c r="F49" i="5"/>
  <c r="G21" i="2"/>
  <c r="G24" i="2" s="1"/>
  <c r="H31" i="5" s="1"/>
  <c r="G31" i="5"/>
  <c r="D57" i="5"/>
  <c r="D16" i="2" s="1"/>
  <c r="D80" i="5"/>
  <c r="F5" i="5"/>
  <c r="D21" i="5"/>
  <c r="D73" i="5"/>
  <c r="E86" i="3"/>
  <c r="E142" i="3"/>
  <c r="D11" i="5"/>
  <c r="D69" i="5"/>
  <c r="D8" i="5"/>
  <c r="D6" i="5"/>
  <c r="E4" i="5"/>
  <c r="E94" i="3"/>
  <c r="E103" i="3" s="1"/>
  <c r="E110" i="3" s="1"/>
  <c r="E112" i="3" s="1"/>
  <c r="E133" i="3" s="1"/>
  <c r="E136" i="3" s="1"/>
  <c r="E140" i="3" s="1"/>
  <c r="D94" i="3"/>
  <c r="D103" i="3" s="1"/>
  <c r="D110" i="3" s="1"/>
  <c r="D112" i="3" s="1"/>
  <c r="D133" i="3" s="1"/>
  <c r="D136" i="3" s="1"/>
  <c r="D140" i="3" s="1"/>
  <c r="C94" i="3"/>
  <c r="C103" i="3" s="1"/>
  <c r="C110" i="3" s="1"/>
  <c r="C112" i="3" s="1"/>
  <c r="C133" i="3" s="1"/>
  <c r="C136" i="3" s="1"/>
  <c r="C140" i="3" s="1"/>
  <c r="D12" i="5" l="1"/>
  <c r="D13" i="5" s="1"/>
  <c r="D58" i="5"/>
  <c r="D72" i="5" s="1"/>
  <c r="D4" i="6"/>
  <c r="D3" i="6"/>
  <c r="G5" i="5"/>
  <c r="F81" i="5"/>
  <c r="F68" i="5"/>
  <c r="D74" i="5"/>
  <c r="E26" i="5"/>
  <c r="E73" i="5" s="1"/>
  <c r="E7" i="5"/>
  <c r="E22" i="5" s="1"/>
  <c r="E71" i="5" s="1"/>
  <c r="D70" i="5"/>
  <c r="D83" i="5"/>
  <c r="D30" i="6"/>
  <c r="D29" i="5"/>
  <c r="G49" i="5"/>
  <c r="G55" i="5"/>
  <c r="F53" i="5"/>
  <c r="E80" i="5"/>
  <c r="E57" i="5"/>
  <c r="E16" i="2" s="1"/>
  <c r="E21" i="5"/>
  <c r="E8" i="5"/>
  <c r="E9" i="5"/>
  <c r="E11" i="5"/>
  <c r="E6" i="5"/>
  <c r="F4" i="5"/>
  <c r="E58" i="5" l="1"/>
  <c r="E72" i="5" s="1"/>
  <c r="E12" i="5"/>
  <c r="E13" i="5" s="1"/>
  <c r="D31" i="6"/>
  <c r="D32" i="6" s="1"/>
  <c r="E4" i="6"/>
  <c r="E3" i="6"/>
  <c r="D26" i="6"/>
  <c r="D27" i="6" s="1"/>
  <c r="D28" i="6" s="1"/>
  <c r="C5" i="6"/>
  <c r="C6" i="6" s="1"/>
  <c r="H5" i="5"/>
  <c r="G68" i="5"/>
  <c r="G81" i="5"/>
  <c r="G4" i="5"/>
  <c r="F26" i="5"/>
  <c r="F73" i="5" s="1"/>
  <c r="F7" i="5"/>
  <c r="F22" i="5" s="1"/>
  <c r="F71" i="5" s="1"/>
  <c r="E69" i="5"/>
  <c r="E29" i="5" s="1"/>
  <c r="E29" i="6"/>
  <c r="E70" i="5"/>
  <c r="E31" i="6"/>
  <c r="E83" i="5"/>
  <c r="E30" i="6"/>
  <c r="H49" i="5"/>
  <c r="H53" i="5" s="1"/>
  <c r="G53" i="5"/>
  <c r="H55" i="5"/>
  <c r="D38" i="5"/>
  <c r="F80" i="5"/>
  <c r="E74" i="5"/>
  <c r="F57" i="5"/>
  <c r="F21" i="5"/>
  <c r="F58" i="5"/>
  <c r="D14" i="5"/>
  <c r="D15" i="5" s="1"/>
  <c r="C7" i="6" s="1"/>
  <c r="C8" i="6" s="1"/>
  <c r="F8" i="5"/>
  <c r="F9" i="5"/>
  <c r="F11" i="5"/>
  <c r="F6" i="5"/>
  <c r="D33" i="6" l="1"/>
  <c r="D35" i="6" s="1"/>
  <c r="E32" i="6"/>
  <c r="D42" i="6"/>
  <c r="E26" i="6"/>
  <c r="E27" i="6" s="1"/>
  <c r="E28" i="6" s="1"/>
  <c r="D5" i="6"/>
  <c r="D6" i="6" s="1"/>
  <c r="H68" i="5"/>
  <c r="H81" i="5"/>
  <c r="F12" i="5"/>
  <c r="F13" i="5" s="1"/>
  <c r="F69" i="5"/>
  <c r="F29" i="6"/>
  <c r="F70" i="5"/>
  <c r="F31" i="6"/>
  <c r="F74" i="5"/>
  <c r="F16" i="2"/>
  <c r="G57" i="5" s="1"/>
  <c r="F83" i="5"/>
  <c r="F30" i="6"/>
  <c r="F29" i="5"/>
  <c r="E38" i="5"/>
  <c r="G80" i="5"/>
  <c r="G21" i="5"/>
  <c r="G26" i="5"/>
  <c r="G73" i="5" s="1"/>
  <c r="H4" i="5"/>
  <c r="G6" i="5"/>
  <c r="G7" i="5"/>
  <c r="G8" i="5"/>
  <c r="G9" i="5"/>
  <c r="G11" i="5"/>
  <c r="D45" i="5"/>
  <c r="F72" i="5"/>
  <c r="D67" i="5"/>
  <c r="D77" i="5" s="1"/>
  <c r="E14" i="5"/>
  <c r="E15" i="5" s="1"/>
  <c r="D7" i="6" s="1"/>
  <c r="D8" i="6" s="1"/>
  <c r="E33" i="6" l="1"/>
  <c r="E35" i="6" s="1"/>
  <c r="F26" i="6"/>
  <c r="F27" i="6" s="1"/>
  <c r="F28" i="6" s="1"/>
  <c r="E5" i="6"/>
  <c r="E6" i="6" s="1"/>
  <c r="G83" i="5"/>
  <c r="G30" i="6"/>
  <c r="G70" i="5"/>
  <c r="G69" i="5"/>
  <c r="G29" i="6"/>
  <c r="C17" i="6"/>
  <c r="C16" i="6"/>
  <c r="F32" i="6"/>
  <c r="G58" i="5"/>
  <c r="G72" i="5" s="1"/>
  <c r="G22" i="5"/>
  <c r="G71" i="5" s="1"/>
  <c r="G12" i="5"/>
  <c r="G13" i="5" s="1"/>
  <c r="G26" i="6" s="1"/>
  <c r="H80" i="5"/>
  <c r="H21" i="5"/>
  <c r="H26" i="5"/>
  <c r="H73" i="5" s="1"/>
  <c r="H6" i="5"/>
  <c r="H7" i="5"/>
  <c r="H8" i="5"/>
  <c r="H9" i="5"/>
  <c r="H11" i="5"/>
  <c r="G16" i="2"/>
  <c r="H57" i="5" s="1"/>
  <c r="G74" i="5"/>
  <c r="G60" i="5"/>
  <c r="G29" i="5"/>
  <c r="F38" i="5"/>
  <c r="E45" i="5"/>
  <c r="E46" i="5" s="1"/>
  <c r="D91" i="5"/>
  <c r="D93" i="5" s="1"/>
  <c r="D27" i="5" s="1"/>
  <c r="C13" i="6" s="1"/>
  <c r="E67" i="5"/>
  <c r="E77" i="5" s="1"/>
  <c r="D46" i="5"/>
  <c r="F14" i="5"/>
  <c r="F15" i="5" s="1"/>
  <c r="E7" i="6" s="1"/>
  <c r="E8" i="6" s="1"/>
  <c r="F33" i="6" l="1"/>
  <c r="H69" i="5"/>
  <c r="H29" i="5" s="1"/>
  <c r="H38" i="5" s="1"/>
  <c r="H29" i="6"/>
  <c r="D16" i="6"/>
  <c r="D17" i="6"/>
  <c r="E92" i="5"/>
  <c r="G31" i="6"/>
  <c r="G32" i="6" s="1"/>
  <c r="H83" i="5"/>
  <c r="H30" i="6"/>
  <c r="H70" i="5"/>
  <c r="G27" i="6"/>
  <c r="G28" i="6" s="1"/>
  <c r="G33" i="6" s="1"/>
  <c r="G35" i="6" s="1"/>
  <c r="G38" i="5"/>
  <c r="H74" i="5"/>
  <c r="H58" i="5"/>
  <c r="H22" i="5"/>
  <c r="H71" i="5" s="1"/>
  <c r="H12" i="5"/>
  <c r="H13" i="5" s="1"/>
  <c r="H26" i="6" s="1"/>
  <c r="G14" i="5"/>
  <c r="G15" i="5" s="1"/>
  <c r="G67" i="5" s="1"/>
  <c r="G77" i="5" s="1"/>
  <c r="G91" i="5" s="1"/>
  <c r="F35" i="6"/>
  <c r="F45" i="5"/>
  <c r="F46" i="5" s="1"/>
  <c r="D28" i="5"/>
  <c r="E91" i="5"/>
  <c r="E93" i="5" s="1"/>
  <c r="E27" i="5" s="1"/>
  <c r="D13" i="6" s="1"/>
  <c r="F67" i="5"/>
  <c r="F77" i="5" s="1"/>
  <c r="E17" i="6" l="1"/>
  <c r="E16" i="6"/>
  <c r="D40" i="5"/>
  <c r="F92" i="5"/>
  <c r="H31" i="6"/>
  <c r="H32" i="6" s="1"/>
  <c r="G45" i="5"/>
  <c r="H27" i="6"/>
  <c r="H28" i="6" s="1"/>
  <c r="H33" i="6" s="1"/>
  <c r="H36" i="6" s="1"/>
  <c r="G46" i="5"/>
  <c r="G62" i="5" s="1"/>
  <c r="H14" i="5"/>
  <c r="H15" i="5" s="1"/>
  <c r="H72" i="5"/>
  <c r="H60" i="5"/>
  <c r="E28" i="5"/>
  <c r="F91" i="5"/>
  <c r="E60" i="5"/>
  <c r="E62" i="5" s="1"/>
  <c r="F60" i="5"/>
  <c r="F62" i="5" s="1"/>
  <c r="D60" i="5"/>
  <c r="D62" i="5" s="1"/>
  <c r="C11" i="6" l="1"/>
  <c r="D95" i="5"/>
  <c r="E40" i="5"/>
  <c r="E95" i="5" s="1"/>
  <c r="D11" i="6"/>
  <c r="F93" i="5"/>
  <c r="G92" i="5" s="1"/>
  <c r="G93" i="5" s="1"/>
  <c r="H37" i="6"/>
  <c r="H35" i="6"/>
  <c r="H67" i="5"/>
  <c r="H77" i="5" s="1"/>
  <c r="H91" i="5" s="1"/>
  <c r="H45" i="5"/>
  <c r="H46" i="5" s="1"/>
  <c r="H62" i="5" s="1"/>
  <c r="F27" i="5" l="1"/>
  <c r="D40" i="6"/>
  <c r="H92" i="5"/>
  <c r="H93" i="5" s="1"/>
  <c r="H27" i="5" s="1"/>
  <c r="D41" i="6" s="1"/>
  <c r="G27" i="5"/>
  <c r="G28" i="5" s="1"/>
  <c r="G40" i="5" s="1"/>
  <c r="G95" i="5" s="1"/>
  <c r="E13" i="6" l="1"/>
  <c r="F28" i="5"/>
  <c r="H28" i="5"/>
  <c r="H40" i="5" s="1"/>
  <c r="H95" i="5" s="1"/>
  <c r="D43" i="6"/>
  <c r="D45" i="6" s="1"/>
  <c r="F40" i="5" l="1"/>
  <c r="F95" i="5" s="1"/>
  <c r="E11" i="6"/>
</calcChain>
</file>

<file path=xl/sharedStrings.xml><?xml version="1.0" encoding="utf-8"?>
<sst xmlns="http://schemas.openxmlformats.org/spreadsheetml/2006/main" count="374" uniqueCount="277">
  <si>
    <t xml:space="preserve">Eternal Ltd. Financial Model </t>
  </si>
  <si>
    <t>(Formerly Zomato Limited)</t>
  </si>
  <si>
    <t>Circuit Switch:</t>
  </si>
  <si>
    <t>ON</t>
  </si>
  <si>
    <t>Operating scenario:</t>
  </si>
  <si>
    <t>Base Case</t>
  </si>
  <si>
    <t>Target Price:</t>
  </si>
  <si>
    <t>All figures in ₹ Cr unless otherwise stated</t>
  </si>
  <si>
    <t>Historical Income Statement</t>
  </si>
  <si>
    <t>Income Statement(₹ Cr)</t>
  </si>
  <si>
    <t>FY23A</t>
  </si>
  <si>
    <t>FY24A</t>
  </si>
  <si>
    <t>FY25A</t>
  </si>
  <si>
    <t>[Income Statement]</t>
  </si>
  <si>
    <t>Income:</t>
  </si>
  <si>
    <t>Revenue from Operations</t>
  </si>
  <si>
    <t>Other Income</t>
  </si>
  <si>
    <t>Toatal Income</t>
  </si>
  <si>
    <t>Operating Expenses:</t>
  </si>
  <si>
    <t>Purchase of Stock-in-Trade</t>
  </si>
  <si>
    <t>Changes in Inventories</t>
  </si>
  <si>
    <t>Employee Benefits Expense</t>
  </si>
  <si>
    <t>Finance Costs</t>
  </si>
  <si>
    <t>Depreciation and Amortization</t>
  </si>
  <si>
    <t>Other Expenses</t>
  </si>
  <si>
    <t>Total Expenses</t>
  </si>
  <si>
    <t>PBT</t>
  </si>
  <si>
    <t>Tax Expenses</t>
  </si>
  <si>
    <t>Net Income (PAT)</t>
  </si>
  <si>
    <t>Historical Balance Sheet</t>
  </si>
  <si>
    <t>Balance Sheet(₹ Cr)</t>
  </si>
  <si>
    <t>[Balance Sheet]</t>
  </si>
  <si>
    <t>ASSETS</t>
  </si>
  <si>
    <t>NON-CURRENT ASSETS</t>
  </si>
  <si>
    <t>Property, Plant and Equipment</t>
  </si>
  <si>
    <t>Capital Work-in-Progress</t>
  </si>
  <si>
    <t>Right-of-use Asset</t>
  </si>
  <si>
    <t>Goodwill</t>
  </si>
  <si>
    <t>Other Intangible Assets</t>
  </si>
  <si>
    <t>Investments (Non-current)</t>
  </si>
  <si>
    <t>Other Financial Assets (Non-current)</t>
  </si>
  <si>
    <t>Tax Assets (Net)</t>
  </si>
  <si>
    <t>Other Non-current Assets</t>
  </si>
  <si>
    <t>TOTAL NON-CURRENT ASSETS</t>
  </si>
  <si>
    <t>CURRENT ASSETS</t>
  </si>
  <si>
    <t>Inventories</t>
  </si>
  <si>
    <t>Investments (Current)</t>
  </si>
  <si>
    <t>Trade Receivables</t>
  </si>
  <si>
    <t>Cash and Cash Equivalents</t>
  </si>
  <si>
    <t>Bank Balances Other than Cash and Cash Equivalents</t>
  </si>
  <si>
    <t>Loans</t>
  </si>
  <si>
    <t>Other Financial Assets (Current)</t>
  </si>
  <si>
    <t>Other Current Assets</t>
  </si>
  <si>
    <t>TOTAL CURRENT ASSETS</t>
  </si>
  <si>
    <t>TOTAL ASSETS</t>
  </si>
  <si>
    <t>EQUITY</t>
  </si>
  <si>
    <t>Equity Share Capital</t>
  </si>
  <si>
    <t>Other Equity</t>
  </si>
  <si>
    <t>Non-controlling Interests</t>
  </si>
  <si>
    <t>TOTAL EQUITY</t>
  </si>
  <si>
    <t>NON-CURRENT LIABILITIES</t>
  </si>
  <si>
    <t>Borrowings (Non-current)</t>
  </si>
  <si>
    <t>-</t>
  </si>
  <si>
    <t>Lease Liabilities (Non-current)</t>
  </si>
  <si>
    <t>Other Financial Liabilities (Non-current)</t>
  </si>
  <si>
    <t>Provisions (Non-current)</t>
  </si>
  <si>
    <t>Deferred Tax Liabilities</t>
  </si>
  <si>
    <t>TOTAL NON-CURRENT LIABILITIES</t>
  </si>
  <si>
    <t>CURRENT LIABILITIES</t>
  </si>
  <si>
    <t>Borrowings (Current)</t>
  </si>
  <si>
    <t>Lease Liabilities (Current)</t>
  </si>
  <si>
    <t>Trade Payables</t>
  </si>
  <si>
    <t>Other Financial Liabilities (Current)</t>
  </si>
  <si>
    <t>Other Current Liabilities</t>
  </si>
  <si>
    <t>Provisions (Current)</t>
  </si>
  <si>
    <t>TOTAL CURRENT LIABILITIES</t>
  </si>
  <si>
    <t>TOTAL LIABILITIES</t>
  </si>
  <si>
    <t>TOTAL EQUITY AND LIABILITIES</t>
  </si>
  <si>
    <t>Historical Cash Flow Statement</t>
  </si>
  <si>
    <t>Cash Flow Statement(₹ Cr)</t>
  </si>
  <si>
    <t>[Cash Flow Statement]</t>
  </si>
  <si>
    <t>CASH FLOWS FROM OPERATING ACTIVITIES</t>
  </si>
  <si>
    <t>Profit Before Tax</t>
  </si>
  <si>
    <t>Depreciation &amp; Amortisation</t>
  </si>
  <si>
    <t>Share Based Payments</t>
  </si>
  <si>
    <t>Expected Credit Loss / Provisions</t>
  </si>
  <si>
    <t>Other Non-Cash Adjustments</t>
  </si>
  <si>
    <t>Interest Income</t>
  </si>
  <si>
    <t>Investment &amp; Asset Gains</t>
  </si>
  <si>
    <t>Share of Profit/Loss from Associates (if material)</t>
  </si>
  <si>
    <t>Operating Profit before Working Capital Changes</t>
  </si>
  <si>
    <t>Trade receivables</t>
  </si>
  <si>
    <t>Inventory</t>
  </si>
  <si>
    <t>Trade payables</t>
  </si>
  <si>
    <t>Other operating assets</t>
  </si>
  <si>
    <t>Other operating liabilities</t>
  </si>
  <si>
    <t>Operating Profit after Working Capital Changes</t>
  </si>
  <si>
    <t>Cash Generated from Operations</t>
  </si>
  <si>
    <t>Income taxes refund / (paid) (net)</t>
  </si>
  <si>
    <t>Net cash generated from / (used in) operating activities (A)</t>
  </si>
  <si>
    <t>CASH FLOWS FROM INVESTING ACTIVITIES</t>
  </si>
  <si>
    <t>CapEx</t>
  </si>
  <si>
    <t>Sale of fixed assets</t>
  </si>
  <si>
    <t>Investment Purchases</t>
  </si>
  <si>
    <t>Investment redemptions</t>
  </si>
  <si>
    <t>Acquisitions</t>
  </si>
  <si>
    <t>Interest received</t>
  </si>
  <si>
    <t>Net cash generated from / (used in) investing activities (B)</t>
  </si>
  <si>
    <t>CASH FLOWS FROM FINANCING ACTIVITIES</t>
  </si>
  <si>
    <t>Equity-related (Proceeds + ESOP + Transaction costs)</t>
  </si>
  <si>
    <t>Borrowings (Repaid during year)</t>
  </si>
  <si>
    <t>Lease principal repayment</t>
  </si>
  <si>
    <t>Lease interest payment</t>
  </si>
  <si>
    <t>Interest expense (non-lease)</t>
  </si>
  <si>
    <t>Net cash generated / from (used in) financing activities (C)</t>
  </si>
  <si>
    <t>Net Cash from Operating Activities</t>
  </si>
  <si>
    <t>Net Cash from Investing Activities</t>
  </si>
  <si>
    <t>Net Cash from Financing Activities</t>
  </si>
  <si>
    <t>Net Change in Cash</t>
  </si>
  <si>
    <t>Cash acquired through business combination</t>
  </si>
  <si>
    <t>Net foreign exchange difference</t>
  </si>
  <si>
    <t>Opening Cash &amp; Cash Equivalents</t>
  </si>
  <si>
    <t>Ending Cash &amp; Cash Equivalents</t>
  </si>
  <si>
    <t>Balance sheet check</t>
  </si>
  <si>
    <t>Assumption</t>
  </si>
  <si>
    <t>FY26E</t>
  </si>
  <si>
    <t>FY27E</t>
  </si>
  <si>
    <t>FY28E</t>
  </si>
  <si>
    <t>FY29E</t>
  </si>
  <si>
    <t>FY30E</t>
  </si>
  <si>
    <t>Revenue Growth</t>
  </si>
  <si>
    <t>Other Income Growth</t>
  </si>
  <si>
    <t>COGS % Revenue</t>
  </si>
  <si>
    <t>Employee Cost % Revenue</t>
  </si>
  <si>
    <t>Other Expense % Revenue</t>
  </si>
  <si>
    <t>D&amp;A % Revenue</t>
  </si>
  <si>
    <t>Finance Cost (₹ Cr)</t>
  </si>
  <si>
    <t>Tax Rate</t>
  </si>
  <si>
    <t>Receivable Days</t>
  </si>
  <si>
    <t>Payable Days</t>
  </si>
  <si>
    <t>Advertising &amp; marketing is approximately 25-30% of Other Expenses based on management commentary. Not modeled separately for simplicity."</t>
  </si>
  <si>
    <t>Capex % Revenue</t>
  </si>
  <si>
    <t>Inventory days</t>
  </si>
  <si>
    <t>Share based compensation</t>
  </si>
  <si>
    <t>Other current liabilities % revenue</t>
  </si>
  <si>
    <t>Lease Schedule </t>
  </si>
  <si>
    <t>(₹ Cr)</t>
  </si>
  <si>
    <t>FY26</t>
  </si>
  <si>
    <t>FY27</t>
  </si>
  <si>
    <t>FY28</t>
  </si>
  <si>
    <t>FY29</t>
  </si>
  <si>
    <t>FY30</t>
  </si>
  <si>
    <t>Opening ROU</t>
  </si>
  <si>
    <t>New Leases (40% of CapEx)</t>
  </si>
  <si>
    <t>Lease Depreciation (included in D&amp;A)</t>
  </si>
  <si>
    <t>Closing ROU</t>
  </si>
  <si>
    <t>Forecast Income Statement (₹ Cr)</t>
  </si>
  <si>
    <t>FY25E</t>
  </si>
  <si>
    <t>Revenue</t>
  </si>
  <si>
    <t>Total Income</t>
  </si>
  <si>
    <t>COGS</t>
  </si>
  <si>
    <t>Employee Benefits</t>
  </si>
  <si>
    <t>Depreciation &amp; Amortization</t>
  </si>
  <si>
    <t>Tax</t>
  </si>
  <si>
    <t>Forecast Balance Sheet (₹ Cr)</t>
  </si>
  <si>
    <t>ASSETS:</t>
  </si>
  <si>
    <t>Current Investments</t>
  </si>
  <si>
    <t>Bank balance other than cash</t>
  </si>
  <si>
    <t>Other Financial Assets</t>
  </si>
  <si>
    <t>Cash &amp; Cash Equivalents</t>
  </si>
  <si>
    <t>Total Current Assets</t>
  </si>
  <si>
    <t>PPE</t>
  </si>
  <si>
    <t>CWIP</t>
  </si>
  <si>
    <t>ROU Asset</t>
  </si>
  <si>
    <t>Intangibles</t>
  </si>
  <si>
    <t>Investments</t>
  </si>
  <si>
    <t>Tax Assets</t>
  </si>
  <si>
    <t>Other Non-Current Assets</t>
  </si>
  <si>
    <t>Total Non-Current Assets</t>
  </si>
  <si>
    <t>LIABILITIES &amp; EQUITY:</t>
  </si>
  <si>
    <t>NCI</t>
  </si>
  <si>
    <t>Provisions(NC)</t>
  </si>
  <si>
    <t>Deferred Tax Liabilitits</t>
  </si>
  <si>
    <t>Other Financial Liabilities</t>
  </si>
  <si>
    <t>Total Non-Current Liabilities</t>
  </si>
  <si>
    <t>Provisions(Current)</t>
  </si>
  <si>
    <t>Total Current Liabilities</t>
  </si>
  <si>
    <t>TOTAL LIABILITIES + EQUITY</t>
  </si>
  <si>
    <t>Forecast Cash Flow Statement (₹ Cr)</t>
  </si>
  <si>
    <t>Operating Activities</t>
  </si>
  <si>
    <t>Interest receieved</t>
  </si>
  <si>
    <t>Increase in Receivables</t>
  </si>
  <si>
    <t>Increase in Inventory</t>
  </si>
  <si>
    <t>Increase in Payables</t>
  </si>
  <si>
    <t>Increase in other current assets</t>
  </si>
  <si>
    <t>Increase in other current liabilities</t>
  </si>
  <si>
    <t>Share based payments</t>
  </si>
  <si>
    <t>Finance cost</t>
  </si>
  <si>
    <t>Investing Activities</t>
  </si>
  <si>
    <t>Capital Expenditure (Capex)</t>
  </si>
  <si>
    <t>Interest Reeceived</t>
  </si>
  <si>
    <t>Investment purchases/redemptions</t>
  </si>
  <si>
    <t>Financing Activities</t>
  </si>
  <si>
    <t>Financing cash flow</t>
  </si>
  <si>
    <t>Lease Principal Repayment</t>
  </si>
  <si>
    <t>Equity issuance</t>
  </si>
  <si>
    <t>Opening Cash</t>
  </si>
  <si>
    <t xml:space="preserve"> Closing Cash</t>
  </si>
  <si>
    <t>BS Check</t>
  </si>
  <si>
    <t>Historical Margin Analysis:</t>
  </si>
  <si>
    <t>Metric</t>
  </si>
  <si>
    <t>FY23</t>
  </si>
  <si>
    <t>FY24</t>
  </si>
  <si>
    <t>FY25</t>
  </si>
  <si>
    <t>Revenue Growth %</t>
  </si>
  <si>
    <t>Gross Margin %</t>
  </si>
  <si>
    <t>EBITDA Margin %</t>
  </si>
  <si>
    <t>EBIT Margin %</t>
  </si>
  <si>
    <t>Net Margin %</t>
  </si>
  <si>
    <t>Other Expenses % Revenue</t>
  </si>
  <si>
    <t>Effective Tax Rate</t>
  </si>
  <si>
    <t>Working Capital Metrics:</t>
  </si>
  <si>
    <t>Inventory Days</t>
  </si>
  <si>
    <t>Forecast Assumptions:</t>
  </si>
  <si>
    <t>EBITDA Margin</t>
  </si>
  <si>
    <t>OPERATING METRICS</t>
  </si>
  <si>
    <t>EBITDA</t>
  </si>
  <si>
    <t>EBITDA Margin%</t>
  </si>
  <si>
    <t>PAT</t>
  </si>
  <si>
    <t>PAT Margin %</t>
  </si>
  <si>
    <t>BALANCE SHEET METRICS</t>
  </si>
  <si>
    <t>Net Working Capital</t>
  </si>
  <si>
    <t>ROIC(later)</t>
  </si>
  <si>
    <t>Net Cash</t>
  </si>
  <si>
    <t>CASH FLOW METRICS</t>
  </si>
  <si>
    <t>CFO</t>
  </si>
  <si>
    <t>FCF</t>
  </si>
  <si>
    <t>DCF ASSUMPTION</t>
  </si>
  <si>
    <t>Value</t>
  </si>
  <si>
    <t>WACC</t>
  </si>
  <si>
    <t>Terminal Growth Rate</t>
  </si>
  <si>
    <t>Terminal Year</t>
  </si>
  <si>
    <t>Shares Outstanding</t>
  </si>
  <si>
    <t>FCFF Schedule</t>
  </si>
  <si>
    <t>EBIT</t>
  </si>
  <si>
    <t>NOPAT</t>
  </si>
  <si>
    <t>D&amp;A</t>
  </si>
  <si>
    <t>Capex</t>
  </si>
  <si>
    <t>Working Capital</t>
  </si>
  <si>
    <t xml:space="preserve">Change in working capital </t>
  </si>
  <si>
    <t>FCFF</t>
  </si>
  <si>
    <t>Discount Factor</t>
  </si>
  <si>
    <t>PV of FCFF</t>
  </si>
  <si>
    <t>Terminal Value</t>
  </si>
  <si>
    <t>PV of Terminal Value</t>
  </si>
  <si>
    <t>VALUATION SUMMARY</t>
  </si>
  <si>
    <t>Enterprise Value</t>
  </si>
  <si>
    <t>Cash</t>
  </si>
  <si>
    <t>Debt</t>
  </si>
  <si>
    <t>Equity Value</t>
  </si>
  <si>
    <t>Intrinsic Value Per Share</t>
  </si>
  <si>
    <t>SENSITIVITY ANALYSIS</t>
  </si>
  <si>
    <t>WACC/g</t>
  </si>
  <si>
    <t>SCENARIO SUMMARY</t>
  </si>
  <si>
    <t>Scenario</t>
  </si>
  <si>
    <t>Growth</t>
  </si>
  <si>
    <t>Value per Share</t>
  </si>
  <si>
    <t>Bear</t>
  </si>
  <si>
    <t>Base</t>
  </si>
  <si>
    <t>Bull</t>
  </si>
  <si>
    <t>REVERSE DCF ANALYSIS</t>
  </si>
  <si>
    <t>Reverse DCF</t>
  </si>
  <si>
    <t>Market Price</t>
  </si>
  <si>
    <t>Base Case DCF</t>
  </si>
  <si>
    <t>Market Premium to Base DCF</t>
  </si>
  <si>
    <t>Implied Terminal Growth @ 11% WACC</t>
  </si>
  <si>
    <t>Implied WACC @ 4% Terminal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</si>
</sst>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[$₹-4009]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F9FAFB"/>
      <name val="Quote-Cjk-Patch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scheme val="minor"/>
    </font>
    <font>
      <b/>
      <sz val="12"/>
      <color theme="0"/>
      <name val="Calibri"/>
      <scheme val="minor"/>
    </font>
    <font>
      <sz val="10.5"/>
      <color theme="0"/>
      <name val="Calibri"/>
      <scheme val="minor"/>
    </font>
    <font>
      <b/>
      <i/>
      <sz val="11"/>
      <color theme="5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Aptos Narrow"/>
      <charset val="1"/>
    </font>
    <font>
      <b/>
      <i/>
      <sz val="11"/>
      <color rgb="FFCF3A3A"/>
      <name val="Calibri"/>
      <scheme val="minor"/>
    </font>
    <font>
      <b/>
      <i/>
      <sz val="11"/>
      <color rgb="FFCF3A3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Fill="1" applyAlignment="1">
      <alignment wrapText="1"/>
    </xf>
    <xf numFmtId="0" fontId="5" fillId="0" borderId="1" xfId="0" applyFont="1" applyFill="1" applyBorder="1" applyAlignment="1">
      <alignment wrapText="1"/>
    </xf>
    <xf numFmtId="0" fontId="4" fillId="0" borderId="0" xfId="0" applyFont="1" applyAlignment="1">
      <alignment horizontal="left" indent="2"/>
    </xf>
    <xf numFmtId="1" fontId="0" fillId="0" borderId="0" xfId="0" applyNumberFormat="1"/>
    <xf numFmtId="1" fontId="2" fillId="0" borderId="1" xfId="0" applyNumberFormat="1" applyFont="1" applyBorder="1"/>
    <xf numFmtId="3" fontId="4" fillId="0" borderId="0" xfId="0" applyNumberFormat="1" applyFont="1" applyFill="1" applyAlignment="1">
      <alignment wrapText="1"/>
    </xf>
    <xf numFmtId="0" fontId="4" fillId="0" borderId="0" xfId="0" applyFont="1" applyFill="1" applyAlignment="1">
      <alignment horizontal="left" wrapText="1" indent="2"/>
    </xf>
    <xf numFmtId="0" fontId="5" fillId="0" borderId="0" xfId="0" applyFont="1" applyFill="1" applyAlignment="1">
      <alignment horizontal="left" wrapText="1" indent="1"/>
    </xf>
    <xf numFmtId="37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0" fillId="0" borderId="1" xfId="0" applyBorder="1"/>
    <xf numFmtId="0" fontId="2" fillId="0" borderId="0" xfId="0" applyFont="1" applyBorder="1"/>
    <xf numFmtId="3" fontId="2" fillId="0" borderId="0" xfId="0" applyNumberFormat="1" applyFont="1" applyBorder="1"/>
    <xf numFmtId="0" fontId="6" fillId="2" borderId="0" xfId="0" applyFont="1" applyFill="1"/>
    <xf numFmtId="0" fontId="7" fillId="2" borderId="0" xfId="0" applyFont="1" applyFill="1" applyAlignment="1">
      <alignment horizontal="center"/>
    </xf>
    <xf numFmtId="3" fontId="0" fillId="0" borderId="0" xfId="0" applyNumberFormat="1" applyFont="1" applyBorder="1"/>
    <xf numFmtId="0" fontId="4" fillId="0" borderId="0" xfId="0" applyFont="1" applyFill="1" applyBorder="1" applyAlignment="1">
      <alignment wrapText="1"/>
    </xf>
    <xf numFmtId="0" fontId="0" fillId="0" borderId="0" xfId="0" applyFont="1" applyBorder="1"/>
    <xf numFmtId="0" fontId="4" fillId="0" borderId="0" xfId="0" applyFont="1" applyFill="1" applyBorder="1" applyAlignment="1">
      <alignment horizontal="left" wrapText="1" indent="2"/>
    </xf>
    <xf numFmtId="37" fontId="0" fillId="0" borderId="0" xfId="0" applyNumberFormat="1" applyFont="1" applyBorder="1"/>
    <xf numFmtId="37" fontId="2" fillId="0" borderId="0" xfId="0" applyNumberFormat="1" applyFont="1" applyBorder="1"/>
    <xf numFmtId="0" fontId="5" fillId="0" borderId="0" xfId="0" applyFont="1" applyFill="1" applyBorder="1" applyAlignment="1">
      <alignment wrapText="1"/>
    </xf>
    <xf numFmtId="37" fontId="2" fillId="0" borderId="1" xfId="0" applyNumberFormat="1" applyFont="1" applyBorder="1"/>
    <xf numFmtId="3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Fill="1"/>
    <xf numFmtId="0" fontId="0" fillId="0" borderId="0" xfId="0" applyFont="1" applyAlignment="1">
      <alignment wrapText="1"/>
    </xf>
    <xf numFmtId="0" fontId="0" fillId="0" borderId="0" xfId="0" applyFill="1" applyAlignment="1">
      <alignment horizontal="left" indent="2"/>
    </xf>
    <xf numFmtId="37" fontId="2" fillId="0" borderId="0" xfId="0" applyNumberFormat="1" applyFont="1"/>
    <xf numFmtId="0" fontId="2" fillId="0" borderId="1" xfId="0" applyFont="1" applyBorder="1" applyAlignment="1">
      <alignment horizontal="left" indent="1"/>
    </xf>
    <xf numFmtId="0" fontId="0" fillId="0" borderId="0" xfId="0" applyBorder="1"/>
    <xf numFmtId="0" fontId="6" fillId="0" borderId="0" xfId="0" applyFont="1" applyFill="1"/>
    <xf numFmtId="0" fontId="7" fillId="0" borderId="0" xfId="0" applyFont="1" applyFill="1" applyAlignment="1">
      <alignment wrapText="1"/>
    </xf>
    <xf numFmtId="0" fontId="7" fillId="0" borderId="0" xfId="0" applyFont="1" applyFill="1" applyAlignment="1">
      <alignment horizontal="center"/>
    </xf>
    <xf numFmtId="9" fontId="0" fillId="0" borderId="0" xfId="0" applyNumberFormat="1" applyFont="1"/>
    <xf numFmtId="10" fontId="0" fillId="0" borderId="0" xfId="0" applyNumberFormat="1" applyFont="1"/>
    <xf numFmtId="0" fontId="0" fillId="0" borderId="0" xfId="0" applyFont="1"/>
    <xf numFmtId="0" fontId="2" fillId="0" borderId="0" xfId="0" applyFont="1" applyBorder="1" applyAlignment="1">
      <alignment horizontal="left" indent="1"/>
    </xf>
    <xf numFmtId="0" fontId="2" fillId="0" borderId="0" xfId="0" quotePrefix="1" applyFont="1" applyAlignment="1">
      <alignment horizontal="left" indent="1"/>
    </xf>
    <xf numFmtId="2" fontId="0" fillId="0" borderId="0" xfId="0" applyNumberFormat="1"/>
    <xf numFmtId="3" fontId="0" fillId="0" borderId="0" xfId="0" applyNumberFormat="1" applyAlignment="1">
      <alignment wrapText="1"/>
    </xf>
    <xf numFmtId="10" fontId="0" fillId="0" borderId="0" xfId="0" applyNumberFormat="1"/>
    <xf numFmtId="10" fontId="0" fillId="0" borderId="0" xfId="0" applyNumberFormat="1" applyAlignment="1">
      <alignment horizontal="right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9" fillId="2" borderId="0" xfId="0" applyFont="1" applyFill="1" applyAlignment="1">
      <alignment horizontal="center" wrapText="1"/>
    </xf>
    <xf numFmtId="39" fontId="0" fillId="0" borderId="0" xfId="0" applyNumberFormat="1"/>
    <xf numFmtId="9" fontId="0" fillId="0" borderId="0" xfId="0" applyNumberFormat="1"/>
    <xf numFmtId="0" fontId="9" fillId="2" borderId="0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8" fillId="0" borderId="1" xfId="0" applyFont="1" applyBorder="1" applyAlignment="1">
      <alignment wrapText="1"/>
    </xf>
    <xf numFmtId="3" fontId="8" fillId="0" borderId="1" xfId="0" applyNumberFormat="1" applyFont="1" applyBorder="1"/>
    <xf numFmtId="37" fontId="0" fillId="0" borderId="1" xfId="0" applyNumberFormat="1" applyBorder="1"/>
    <xf numFmtId="165" fontId="0" fillId="0" borderId="0" xfId="0" applyNumberFormat="1"/>
    <xf numFmtId="9" fontId="0" fillId="0" borderId="0" xfId="0" applyNumberFormat="1" applyAlignment="1">
      <alignment horizontal="left" indent="1"/>
    </xf>
    <xf numFmtId="9" fontId="7" fillId="2" borderId="0" xfId="0" applyNumberFormat="1" applyFont="1" applyFill="1" applyAlignment="1">
      <alignment horizontal="center"/>
    </xf>
    <xf numFmtId="2" fontId="0" fillId="0" borderId="0" xfId="0" quotePrefix="1" applyNumberFormat="1" applyAlignment="1">
      <alignment wrapText="1"/>
    </xf>
    <xf numFmtId="0" fontId="2" fillId="0" borderId="0" xfId="0" applyFont="1" applyFill="1"/>
    <xf numFmtId="0" fontId="12" fillId="0" borderId="0" xfId="0" applyFont="1" applyFill="1"/>
    <xf numFmtId="37" fontId="12" fillId="0" borderId="0" xfId="0" applyNumberFormat="1" applyFont="1" applyFill="1"/>
    <xf numFmtId="0" fontId="5" fillId="0" borderId="0" xfId="0" applyFont="1" applyFill="1" applyBorder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7" fillId="2" borderId="2" xfId="0" applyFont="1" applyFill="1" applyBorder="1" applyAlignment="1">
      <alignment horizontal="center"/>
    </xf>
    <xf numFmtId="0" fontId="13" fillId="2" borderId="0" xfId="0" applyFont="1" applyFill="1" applyAlignment="1">
      <alignment horizontal="left" wrapText="1"/>
    </xf>
    <xf numFmtId="0" fontId="0" fillId="0" borderId="0" xfId="0" quotePrefix="1" applyAlignment="1">
      <alignment horizontal="left" indent="2"/>
    </xf>
    <xf numFmtId="0" fontId="7" fillId="0" borderId="0" xfId="0" applyFont="1" applyFill="1"/>
    <xf numFmtId="0" fontId="9" fillId="0" borderId="0" xfId="0" applyFont="1" applyFill="1" applyAlignment="1">
      <alignment horizontal="center" wrapText="1"/>
    </xf>
    <xf numFmtId="0" fontId="14" fillId="0" borderId="0" xfId="0" applyFont="1" applyFill="1"/>
    <xf numFmtId="0" fontId="0" fillId="0" borderId="3" xfId="0" applyBorder="1"/>
    <xf numFmtId="0" fontId="9" fillId="2" borderId="0" xfId="0" applyFont="1" applyFill="1" applyBorder="1" applyAlignment="1">
      <alignment horizontal="center"/>
    </xf>
    <xf numFmtId="166" fontId="0" fillId="0" borderId="0" xfId="0" applyNumberFormat="1"/>
    <xf numFmtId="3" fontId="0" fillId="0" borderId="1" xfId="0" applyNumberFormat="1" applyBorder="1"/>
    <xf numFmtId="39" fontId="0" fillId="0" borderId="0" xfId="0" applyNumberFormat="1" applyFont="1" applyBorder="1"/>
    <xf numFmtId="0" fontId="15" fillId="0" borderId="0" xfId="0" applyFont="1"/>
    <xf numFmtId="0" fontId="0" fillId="2" borderId="0" xfId="0" applyFill="1"/>
    <xf numFmtId="0" fontId="0" fillId="2" borderId="4" xfId="0" applyFill="1" applyBorder="1"/>
    <xf numFmtId="0" fontId="0" fillId="3" borderId="0" xfId="0" applyFill="1"/>
    <xf numFmtId="0" fontId="16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 indent="2"/>
    </xf>
    <xf numFmtId="0" fontId="19" fillId="0" borderId="0" xfId="0" applyFont="1" applyFill="1" applyBorder="1" applyAlignment="1">
      <alignment horizontal="left" wrapText="1"/>
    </xf>
    <xf numFmtId="37" fontId="20" fillId="0" borderId="0" xfId="0" applyNumberFormat="1" applyFont="1" applyFill="1" applyBorder="1"/>
    <xf numFmtId="39" fontId="16" fillId="0" borderId="0" xfId="0" applyNumberFormat="1" applyFont="1" applyFill="1"/>
    <xf numFmtId="0" fontId="17" fillId="3" borderId="0" xfId="0" applyFont="1" applyFill="1" applyAlignment="1">
      <alignment horizontal="center"/>
    </xf>
    <xf numFmtId="167" fontId="17" fillId="3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4" xfId="0" applyFont="1" applyFill="1" applyBorder="1" applyAlignment="1">
      <alignment horizontal="right" indent="1"/>
    </xf>
    <xf numFmtId="0" fontId="18" fillId="2" borderId="0" xfId="0" applyFont="1" applyFill="1" applyAlignment="1">
      <alignment horizontal="right" indent="2"/>
    </xf>
    <xf numFmtId="0" fontId="1" fillId="0" borderId="0" xfId="0" applyFont="1"/>
    <xf numFmtId="0" fontId="1" fillId="0" borderId="0" xfId="0" applyFont="1" applyAlignment="1">
      <alignment horizontal="left" wrapText="1"/>
    </xf>
    <xf numFmtId="3" fontId="1" fillId="0" borderId="0" xfId="0" applyNumberFormat="1" applyFont="1"/>
    <xf numFmtId="0" fontId="1" fillId="0" borderId="0" xfId="0" quotePrefix="1" applyFont="1" applyAlignment="1">
      <alignment horizontal="left" wrapText="1" indent="2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F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66675</xdr:rowOff>
    </xdr:from>
    <xdr:to>
      <xdr:col>1</xdr:col>
      <xdr:colOff>1409700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8DB851-71AC-20A9-43AB-49D140FA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257175"/>
          <a:ext cx="1343025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71"/>
  <sheetViews>
    <sheetView tabSelected="1" zoomScale="88" zoomScaleNormal="88" workbookViewId="0">
      <selection activeCell="B3" sqref="B3:B4"/>
    </sheetView>
  </sheetViews>
  <sheetFormatPr defaultRowHeight="15" customHeight="1"/>
  <cols>
    <col min="1" max="1" width="3.28515625" customWidth="1"/>
    <col min="2" max="2" width="49.5703125" customWidth="1"/>
    <col min="3" max="3" width="28" customWidth="1"/>
    <col min="4" max="4" width="26.42578125" customWidth="1"/>
    <col min="5" max="5" width="24.5703125" customWidth="1"/>
    <col min="6" max="6" width="16.28515625" customWidth="1"/>
    <col min="7" max="7" width="13.85546875" customWidth="1"/>
    <col min="8" max="8" width="12.7109375" customWidth="1"/>
  </cols>
  <sheetData>
    <row r="2" spans="2:5" ht="15" customHeight="1">
      <c r="B2" s="88"/>
      <c r="C2" s="87"/>
      <c r="D2" s="87"/>
      <c r="E2" s="87"/>
    </row>
    <row r="3" spans="2:5" ht="15" customHeight="1">
      <c r="B3" s="98" t="s">
        <v>0</v>
      </c>
      <c r="C3" s="89"/>
      <c r="D3" s="89"/>
      <c r="E3" s="89"/>
    </row>
    <row r="4" spans="2:5" ht="15" customHeight="1">
      <c r="B4" s="99" t="s">
        <v>1</v>
      </c>
      <c r="C4" s="91" t="s">
        <v>2</v>
      </c>
      <c r="D4" s="90" t="s">
        <v>3</v>
      </c>
      <c r="E4" s="89"/>
    </row>
    <row r="5" spans="2:5" ht="15" customHeight="1">
      <c r="B5" s="88"/>
      <c r="C5" s="91" t="s">
        <v>4</v>
      </c>
      <c r="D5" s="95" t="s">
        <v>5</v>
      </c>
      <c r="E5" s="89"/>
    </row>
    <row r="6" spans="2:5" ht="15" customHeight="1">
      <c r="B6" s="88"/>
      <c r="C6" s="91" t="s">
        <v>6</v>
      </c>
      <c r="D6" s="96">
        <v>71.849999999999994</v>
      </c>
      <c r="E6" s="89"/>
    </row>
    <row r="7" spans="2:5" ht="15" customHeight="1">
      <c r="B7" s="88"/>
      <c r="C7" s="89"/>
      <c r="D7" s="89"/>
      <c r="E7" s="89"/>
    </row>
    <row r="9" spans="2:5" ht="15" customHeight="1">
      <c r="B9" s="86" t="s">
        <v>7</v>
      </c>
    </row>
    <row r="10" spans="2:5" ht="15.75" customHeight="1">
      <c r="B10" s="74"/>
      <c r="C10" s="97" t="s">
        <v>8</v>
      </c>
      <c r="D10" s="97"/>
      <c r="E10" s="97"/>
    </row>
    <row r="11" spans="2:5" ht="16.5">
      <c r="B11" s="76" t="s">
        <v>9</v>
      </c>
      <c r="C11" s="75" t="s">
        <v>10</v>
      </c>
      <c r="D11" s="75" t="s">
        <v>11</v>
      </c>
      <c r="E11" s="75" t="s">
        <v>12</v>
      </c>
    </row>
    <row r="13" spans="2:5" ht="14.45" customHeight="1">
      <c r="B13" s="2" t="s">
        <v>13</v>
      </c>
    </row>
    <row r="14" spans="2:5" ht="14.45" customHeight="1">
      <c r="B14" s="2" t="s">
        <v>14</v>
      </c>
    </row>
    <row r="15" spans="2:5" ht="14.45" customHeight="1">
      <c r="B15" s="4" t="s">
        <v>15</v>
      </c>
      <c r="C15" s="25">
        <v>7079</v>
      </c>
      <c r="D15" s="25">
        <v>12114</v>
      </c>
      <c r="E15" s="25">
        <v>20243</v>
      </c>
    </row>
    <row r="16" spans="2:5" ht="14.45" customHeight="1">
      <c r="B16" s="4" t="s">
        <v>16</v>
      </c>
      <c r="C16" s="25">
        <v>682</v>
      </c>
      <c r="D16" s="25">
        <v>847</v>
      </c>
      <c r="E16" s="25">
        <v>1077</v>
      </c>
    </row>
    <row r="17" spans="2:5" ht="14.45" customHeight="1">
      <c r="B17" s="18" t="s">
        <v>17</v>
      </c>
      <c r="C17" s="19">
        <f>SUM(C15:C16)</f>
        <v>7761</v>
      </c>
      <c r="D17" s="19">
        <f>SUM(D15:D16)</f>
        <v>12961</v>
      </c>
      <c r="E17" s="19">
        <f>SUM(E15:E16)</f>
        <v>21320</v>
      </c>
    </row>
    <row r="19" spans="2:5" ht="14.45" customHeight="1">
      <c r="B19" s="2" t="s">
        <v>18</v>
      </c>
    </row>
    <row r="20" spans="2:5" ht="14.45" customHeight="1">
      <c r="B20" s="4" t="s">
        <v>19</v>
      </c>
      <c r="C20" s="25">
        <v>1438</v>
      </c>
      <c r="D20" s="25">
        <v>2887</v>
      </c>
      <c r="E20" s="25">
        <v>5653</v>
      </c>
    </row>
    <row r="21" spans="2:5" ht="14.45" customHeight="1">
      <c r="B21" s="4" t="s">
        <v>20</v>
      </c>
      <c r="C21" s="17">
        <v>-43</v>
      </c>
      <c r="D21" s="17">
        <v>-5</v>
      </c>
      <c r="E21" s="17">
        <v>-88</v>
      </c>
    </row>
    <row r="22" spans="2:5" ht="14.45" customHeight="1">
      <c r="B22" s="4" t="s">
        <v>21</v>
      </c>
      <c r="C22" s="25">
        <v>1465</v>
      </c>
      <c r="D22" s="25">
        <v>1659</v>
      </c>
      <c r="E22" s="25">
        <v>2558</v>
      </c>
    </row>
    <row r="23" spans="2:5" ht="14.45" customHeight="1">
      <c r="B23" s="4" t="s">
        <v>22</v>
      </c>
      <c r="C23">
        <v>49</v>
      </c>
      <c r="D23">
        <v>72</v>
      </c>
      <c r="E23">
        <v>154</v>
      </c>
    </row>
    <row r="24" spans="2:5" ht="14.45" customHeight="1">
      <c r="B24" s="4" t="s">
        <v>23</v>
      </c>
      <c r="C24">
        <v>437</v>
      </c>
      <c r="D24">
        <v>526</v>
      </c>
      <c r="E24">
        <v>863</v>
      </c>
    </row>
    <row r="25" spans="2:5" ht="14.45" customHeight="1">
      <c r="B25" s="4" t="s">
        <v>24</v>
      </c>
      <c r="C25" s="25">
        <v>5429</v>
      </c>
      <c r="D25" s="25">
        <v>7531</v>
      </c>
      <c r="E25" s="25">
        <v>11483</v>
      </c>
    </row>
    <row r="26" spans="2:5">
      <c r="B26" s="18" t="s">
        <v>25</v>
      </c>
      <c r="C26" s="32">
        <f>SUM(C20:C25)</f>
        <v>8775</v>
      </c>
      <c r="D26" s="32">
        <f>SUM(D20:D25)</f>
        <v>12670</v>
      </c>
      <c r="E26" s="32">
        <f>SUM(E20:E25)</f>
        <v>20623</v>
      </c>
    </row>
    <row r="27" spans="2:5">
      <c r="B27" s="4" t="s">
        <v>26</v>
      </c>
      <c r="C27" s="29">
        <f>C17-C26</f>
        <v>-1014</v>
      </c>
      <c r="D27" s="29">
        <f t="shared" ref="D27:E27" si="0">D17-D26</f>
        <v>291</v>
      </c>
      <c r="E27" s="29">
        <f t="shared" si="0"/>
        <v>697</v>
      </c>
    </row>
    <row r="28" spans="2:5">
      <c r="B28" s="4" t="s">
        <v>27</v>
      </c>
      <c r="C28" s="29">
        <v>44</v>
      </c>
      <c r="D28" s="29">
        <v>-60</v>
      </c>
      <c r="E28" s="29">
        <v>170</v>
      </c>
    </row>
    <row r="29" spans="2:5">
      <c r="B29" s="18" t="s">
        <v>28</v>
      </c>
      <c r="C29" s="32">
        <f>C27-C28</f>
        <v>-1058</v>
      </c>
      <c r="D29" s="32">
        <f t="shared" ref="D29:E29" si="1">D27-D28</f>
        <v>351</v>
      </c>
      <c r="E29" s="32">
        <f t="shared" si="1"/>
        <v>527</v>
      </c>
    </row>
    <row r="30" spans="2:5">
      <c r="B30" s="21"/>
      <c r="C30" s="22"/>
      <c r="D30" s="22"/>
      <c r="E30" s="22"/>
    </row>
    <row r="31" spans="2:5">
      <c r="B31" s="21"/>
      <c r="C31" s="22"/>
      <c r="D31" s="22"/>
      <c r="E31" s="22"/>
    </row>
    <row r="32" spans="2:5">
      <c r="B32" s="23"/>
      <c r="C32" s="97" t="s">
        <v>29</v>
      </c>
      <c r="D32" s="97"/>
      <c r="E32" s="97"/>
    </row>
    <row r="33" spans="2:5" ht="18.75" customHeight="1">
      <c r="B33" s="76" t="s">
        <v>30</v>
      </c>
      <c r="C33" s="75" t="s">
        <v>10</v>
      </c>
      <c r="D33" s="75" t="s">
        <v>11</v>
      </c>
      <c r="E33" s="75" t="s">
        <v>12</v>
      </c>
    </row>
    <row r="35" spans="2:5">
      <c r="B35" s="2" t="s">
        <v>31</v>
      </c>
    </row>
    <row r="36" spans="2:5">
      <c r="B36" s="2" t="s">
        <v>32</v>
      </c>
    </row>
    <row r="37" spans="2:5">
      <c r="B37" s="16" t="s">
        <v>33</v>
      </c>
      <c r="C37" s="14"/>
      <c r="D37" s="14"/>
      <c r="E37" s="14"/>
    </row>
    <row r="38" spans="2:5">
      <c r="B38" s="15" t="s">
        <v>34</v>
      </c>
      <c r="C38" s="14">
        <v>209</v>
      </c>
      <c r="D38" s="14">
        <v>287</v>
      </c>
      <c r="E38" s="14">
        <v>965</v>
      </c>
    </row>
    <row r="39" spans="2:5">
      <c r="B39" s="15" t="s">
        <v>35</v>
      </c>
      <c r="C39" s="9">
        <v>7</v>
      </c>
      <c r="D39" s="9">
        <v>18</v>
      </c>
      <c r="E39" s="14">
        <v>51</v>
      </c>
    </row>
    <row r="40" spans="2:5">
      <c r="B40" s="15" t="s">
        <v>36</v>
      </c>
      <c r="C40" s="14">
        <v>427</v>
      </c>
      <c r="D40" s="14">
        <v>690</v>
      </c>
      <c r="E40" s="14">
        <v>1918</v>
      </c>
    </row>
    <row r="41" spans="2:5">
      <c r="B41" s="15" t="s">
        <v>37</v>
      </c>
      <c r="C41" s="14">
        <v>4717</v>
      </c>
      <c r="D41" s="14">
        <v>4717</v>
      </c>
      <c r="E41" s="14">
        <v>5737</v>
      </c>
    </row>
    <row r="42" spans="2:5">
      <c r="B42" s="15" t="s">
        <v>38</v>
      </c>
      <c r="C42" s="14">
        <v>991</v>
      </c>
      <c r="D42" s="14">
        <v>754</v>
      </c>
      <c r="E42" s="14">
        <v>912</v>
      </c>
    </row>
    <row r="43" spans="2:5">
      <c r="B43" s="15" t="s">
        <v>39</v>
      </c>
      <c r="C43" s="14">
        <v>2280</v>
      </c>
      <c r="D43" s="14">
        <v>10365</v>
      </c>
      <c r="E43" s="14">
        <v>10920</v>
      </c>
    </row>
    <row r="44" spans="2:5">
      <c r="B44" s="15" t="s">
        <v>40</v>
      </c>
      <c r="C44" s="14">
        <v>1894</v>
      </c>
      <c r="D44" s="14">
        <v>747</v>
      </c>
      <c r="E44" s="14">
        <v>2744</v>
      </c>
    </row>
    <row r="45" spans="2:5">
      <c r="B45" s="15" t="s">
        <v>41</v>
      </c>
      <c r="C45" s="14">
        <v>116</v>
      </c>
      <c r="D45" s="14">
        <v>221</v>
      </c>
      <c r="E45" s="14">
        <v>129</v>
      </c>
    </row>
    <row r="46" spans="2:5">
      <c r="B46" s="15" t="s">
        <v>42</v>
      </c>
      <c r="C46" s="14">
        <v>127</v>
      </c>
      <c r="D46" s="14">
        <v>99</v>
      </c>
      <c r="E46" s="14">
        <v>546</v>
      </c>
    </row>
    <row r="47" spans="2:5">
      <c r="B47" s="18" t="s">
        <v>43</v>
      </c>
      <c r="C47" s="19">
        <f>SUM(C38:C46)</f>
        <v>10768</v>
      </c>
      <c r="D47" s="19">
        <f>SUM(D38:D46)</f>
        <v>17898</v>
      </c>
      <c r="E47" s="19">
        <f>SUM(E38:E46)</f>
        <v>23922</v>
      </c>
    </row>
    <row r="49" spans="2:5">
      <c r="B49" s="16" t="s">
        <v>44</v>
      </c>
    </row>
    <row r="50" spans="2:5">
      <c r="B50" s="15" t="s">
        <v>45</v>
      </c>
      <c r="C50" s="25">
        <v>83</v>
      </c>
      <c r="D50" s="25">
        <v>88</v>
      </c>
      <c r="E50" s="25">
        <v>176</v>
      </c>
    </row>
    <row r="51" spans="2:5">
      <c r="B51" s="15" t="s">
        <v>46</v>
      </c>
      <c r="C51" s="25">
        <v>4485</v>
      </c>
      <c r="D51" s="25">
        <v>1280</v>
      </c>
      <c r="E51" s="25">
        <v>2272</v>
      </c>
    </row>
    <row r="52" spans="2:5">
      <c r="B52" s="15" t="s">
        <v>47</v>
      </c>
      <c r="C52" s="25">
        <v>457</v>
      </c>
      <c r="D52" s="25">
        <v>794</v>
      </c>
      <c r="E52" s="25">
        <v>1946</v>
      </c>
    </row>
    <row r="53" spans="2:5">
      <c r="B53" s="15" t="s">
        <v>48</v>
      </c>
      <c r="C53" s="25">
        <v>218</v>
      </c>
      <c r="D53" s="25">
        <v>309</v>
      </c>
      <c r="E53" s="25">
        <v>666</v>
      </c>
    </row>
    <row r="54" spans="2:5" ht="16.5" customHeight="1">
      <c r="B54" s="15" t="s">
        <v>49</v>
      </c>
      <c r="C54" s="25">
        <v>799</v>
      </c>
      <c r="D54" s="25">
        <v>422</v>
      </c>
      <c r="E54" s="25">
        <v>2948</v>
      </c>
    </row>
    <row r="55" spans="2:5">
      <c r="B55" s="15" t="s">
        <v>50</v>
      </c>
      <c r="C55" s="25">
        <v>0</v>
      </c>
      <c r="D55" s="25">
        <v>0</v>
      </c>
      <c r="E55" s="25">
        <v>0</v>
      </c>
    </row>
    <row r="56" spans="2:5">
      <c r="B56" s="15" t="s">
        <v>51</v>
      </c>
      <c r="C56" s="25">
        <v>4418</v>
      </c>
      <c r="D56" s="25">
        <v>2324</v>
      </c>
      <c r="E56" s="25">
        <v>2769</v>
      </c>
    </row>
    <row r="57" spans="2:5">
      <c r="B57" s="15" t="s">
        <v>52</v>
      </c>
      <c r="C57" s="25">
        <v>371</v>
      </c>
      <c r="D57" s="25">
        <v>241</v>
      </c>
      <c r="E57" s="25">
        <v>924</v>
      </c>
    </row>
    <row r="58" spans="2:5">
      <c r="B58" s="18" t="s">
        <v>53</v>
      </c>
      <c r="C58" s="19">
        <f>SUM(C50:C57)</f>
        <v>10831</v>
      </c>
      <c r="D58" s="19">
        <f>SUM(D50:D57)</f>
        <v>5458</v>
      </c>
      <c r="E58" s="19">
        <f>SUM(E50:E57)</f>
        <v>11701</v>
      </c>
    </row>
    <row r="60" spans="2:5">
      <c r="B60" s="18" t="s">
        <v>54</v>
      </c>
      <c r="C60" s="19">
        <f>SUM(C47+C58)</f>
        <v>21599</v>
      </c>
      <c r="D60" s="19">
        <f>SUM(D47+D58)</f>
        <v>23356</v>
      </c>
      <c r="E60" s="19">
        <f>SUM(E47+E58)</f>
        <v>35623</v>
      </c>
    </row>
    <row r="62" spans="2:5">
      <c r="B62" s="2" t="s">
        <v>55</v>
      </c>
    </row>
    <row r="63" spans="2:5">
      <c r="B63" s="15" t="s">
        <v>56</v>
      </c>
      <c r="C63">
        <v>836</v>
      </c>
      <c r="D63">
        <v>868</v>
      </c>
      <c r="E63">
        <v>907</v>
      </c>
    </row>
    <row r="64" spans="2:5">
      <c r="B64" s="15" t="s">
        <v>57</v>
      </c>
      <c r="C64" s="25">
        <v>18624</v>
      </c>
      <c r="D64" s="25">
        <v>19545</v>
      </c>
      <c r="E64" s="25">
        <v>29410</v>
      </c>
    </row>
    <row r="65" spans="2:5">
      <c r="B65" s="15" t="s">
        <v>58</v>
      </c>
      <c r="C65" s="17">
        <v>-7</v>
      </c>
      <c r="D65" s="17">
        <v>-7</v>
      </c>
      <c r="E65" s="17">
        <v>-7</v>
      </c>
    </row>
    <row r="66" spans="2:5">
      <c r="B66" s="18" t="s">
        <v>59</v>
      </c>
      <c r="C66" s="19">
        <f>SUM(C63:C65)</f>
        <v>19453</v>
      </c>
      <c r="D66" s="19">
        <f>SUM(D63:D65)</f>
        <v>20406</v>
      </c>
      <c r="E66" s="19">
        <f>SUM(E63:E65)</f>
        <v>30310</v>
      </c>
    </row>
    <row r="68" spans="2:5">
      <c r="B68" s="16" t="s">
        <v>60</v>
      </c>
    </row>
    <row r="69" spans="2:5">
      <c r="B69" s="15" t="s">
        <v>61</v>
      </c>
      <c r="C69">
        <v>6</v>
      </c>
      <c r="D69" s="5" t="s">
        <v>62</v>
      </c>
      <c r="E69" s="5" t="s">
        <v>62</v>
      </c>
    </row>
    <row r="70" spans="2:5">
      <c r="B70" s="15" t="s">
        <v>63</v>
      </c>
      <c r="C70">
        <v>351</v>
      </c>
      <c r="D70">
        <v>588</v>
      </c>
      <c r="E70" s="25">
        <v>1654</v>
      </c>
    </row>
    <row r="71" spans="2:5">
      <c r="B71" s="15" t="s">
        <v>64</v>
      </c>
      <c r="C71">
        <v>95</v>
      </c>
      <c r="D71">
        <v>3</v>
      </c>
      <c r="E71">
        <v>1</v>
      </c>
    </row>
    <row r="72" spans="2:5">
      <c r="B72" s="15" t="s">
        <v>65</v>
      </c>
      <c r="C72">
        <v>4</v>
      </c>
      <c r="D72">
        <v>88</v>
      </c>
      <c r="E72">
        <v>120</v>
      </c>
    </row>
    <row r="73" spans="2:5">
      <c r="B73" s="15" t="s">
        <v>66</v>
      </c>
      <c r="C73">
        <v>249</v>
      </c>
      <c r="D73">
        <v>188</v>
      </c>
      <c r="E73">
        <v>212</v>
      </c>
    </row>
    <row r="74" spans="2:5">
      <c r="B74" s="18" t="s">
        <v>67</v>
      </c>
      <c r="C74" s="19">
        <f>SUM(C69:C73)</f>
        <v>705</v>
      </c>
      <c r="D74" s="19">
        <f>SUM(D69:D73)</f>
        <v>867</v>
      </c>
      <c r="E74" s="19">
        <f>SUM(E69:E73)</f>
        <v>1987</v>
      </c>
    </row>
    <row r="76" spans="2:5">
      <c r="B76" s="16" t="s">
        <v>68</v>
      </c>
    </row>
    <row r="77" spans="2:5">
      <c r="B77" s="15" t="s">
        <v>69</v>
      </c>
      <c r="C77">
        <v>35</v>
      </c>
      <c r="D77" s="5" t="s">
        <v>62</v>
      </c>
      <c r="E77" s="5" t="s">
        <v>62</v>
      </c>
    </row>
    <row r="78" spans="2:5">
      <c r="B78" s="15" t="s">
        <v>70</v>
      </c>
      <c r="C78">
        <v>115</v>
      </c>
      <c r="D78">
        <v>161</v>
      </c>
      <c r="E78">
        <v>391</v>
      </c>
    </row>
    <row r="79" spans="2:5">
      <c r="B79" s="15" t="s">
        <v>71</v>
      </c>
      <c r="C79">
        <v>679</v>
      </c>
      <c r="D79">
        <v>886</v>
      </c>
      <c r="E79">
        <v>1536</v>
      </c>
    </row>
    <row r="80" spans="2:5">
      <c r="B80" s="15" t="s">
        <v>72</v>
      </c>
      <c r="C80">
        <v>310</v>
      </c>
      <c r="D80">
        <v>644</v>
      </c>
      <c r="E80">
        <v>913</v>
      </c>
    </row>
    <row r="81" spans="2:10">
      <c r="B81" s="15" t="s">
        <v>73</v>
      </c>
      <c r="C81">
        <v>276</v>
      </c>
      <c r="D81">
        <v>363</v>
      </c>
      <c r="E81">
        <v>452</v>
      </c>
    </row>
    <row r="82" spans="2:10">
      <c r="B82" s="15" t="s">
        <v>74</v>
      </c>
      <c r="C82">
        <v>26</v>
      </c>
      <c r="D82">
        <v>29</v>
      </c>
      <c r="E82">
        <v>34</v>
      </c>
    </row>
    <row r="83" spans="2:10">
      <c r="B83" s="18" t="s">
        <v>75</v>
      </c>
      <c r="C83" s="19">
        <f>SUM(C77:C82)</f>
        <v>1441</v>
      </c>
      <c r="D83" s="19">
        <f>SUM(D77:D82)</f>
        <v>2083</v>
      </c>
      <c r="E83" s="19">
        <f>SUM(E77:E82)</f>
        <v>3326</v>
      </c>
    </row>
    <row r="84" spans="2:10">
      <c r="B84" s="18" t="s">
        <v>76</v>
      </c>
      <c r="C84" s="19">
        <f>SUM(C74+C83)</f>
        <v>2146</v>
      </c>
      <c r="D84" s="19">
        <f>SUM(D74+D83)</f>
        <v>2950</v>
      </c>
      <c r="E84" s="19">
        <f>SUM(E74+E83)</f>
        <v>5313</v>
      </c>
    </row>
    <row r="86" spans="2:10">
      <c r="B86" s="18" t="s">
        <v>77</v>
      </c>
      <c r="C86" s="19">
        <f>SUM(C66+C84)</f>
        <v>21599</v>
      </c>
      <c r="D86" s="19">
        <f>SUM(D66+D84)</f>
        <v>23356</v>
      </c>
      <c r="E86" s="19">
        <f>SUM(E66+E84)</f>
        <v>35623</v>
      </c>
    </row>
    <row r="87" spans="2:10">
      <c r="B87" s="21"/>
      <c r="C87" s="22"/>
      <c r="D87" s="22"/>
      <c r="E87" s="22"/>
    </row>
    <row r="89" spans="2:10">
      <c r="B89" s="23"/>
      <c r="C89" s="97" t="s">
        <v>78</v>
      </c>
      <c r="D89" s="97"/>
      <c r="E89" s="97"/>
      <c r="F89" s="41"/>
      <c r="G89" s="41"/>
      <c r="H89" s="41"/>
      <c r="I89" s="41"/>
      <c r="J89" s="41"/>
    </row>
    <row r="90" spans="2:10" ht="16.5">
      <c r="B90" s="76" t="s">
        <v>79</v>
      </c>
      <c r="C90" s="75" t="s">
        <v>10</v>
      </c>
      <c r="D90" s="75" t="s">
        <v>11</v>
      </c>
      <c r="E90" s="75" t="s">
        <v>12</v>
      </c>
      <c r="F90" s="42"/>
      <c r="G90" s="43"/>
      <c r="H90" s="43"/>
      <c r="I90" s="43"/>
      <c r="J90" s="43"/>
    </row>
    <row r="92" spans="2:10">
      <c r="B92" s="31" t="s">
        <v>80</v>
      </c>
      <c r="C92" s="26"/>
      <c r="D92" s="26"/>
      <c r="E92" s="26"/>
    </row>
    <row r="93" spans="2:10">
      <c r="B93" s="73" t="s">
        <v>81</v>
      </c>
      <c r="C93" s="29"/>
      <c r="D93" s="29"/>
      <c r="E93" s="29"/>
      <c r="J93" s="29"/>
    </row>
    <row r="94" spans="2:10">
      <c r="B94" s="37" t="s">
        <v>82</v>
      </c>
      <c r="C94" s="29">
        <f>C29</f>
        <v>-1058</v>
      </c>
      <c r="D94" s="29">
        <f>D29</f>
        <v>351</v>
      </c>
      <c r="E94" s="29">
        <f>E29</f>
        <v>527</v>
      </c>
      <c r="J94" s="29"/>
    </row>
    <row r="95" spans="2:10">
      <c r="B95" s="37" t="s">
        <v>83</v>
      </c>
      <c r="C95" s="29">
        <v>437</v>
      </c>
      <c r="D95" s="29">
        <v>526</v>
      </c>
      <c r="E95" s="29">
        <v>863</v>
      </c>
      <c r="J95" s="29"/>
    </row>
    <row r="96" spans="2:10">
      <c r="B96" s="37" t="s">
        <v>84</v>
      </c>
      <c r="C96" s="29">
        <v>506</v>
      </c>
      <c r="D96" s="29">
        <v>515</v>
      </c>
      <c r="E96" s="29">
        <v>798</v>
      </c>
      <c r="J96" s="29"/>
    </row>
    <row r="97" spans="2:10">
      <c r="B97" s="37" t="s">
        <v>22</v>
      </c>
      <c r="C97" s="29">
        <v>46</v>
      </c>
      <c r="D97" s="29">
        <v>69</v>
      </c>
      <c r="E97" s="29">
        <v>151</v>
      </c>
      <c r="J97" s="29"/>
    </row>
    <row r="98" spans="2:10">
      <c r="B98" s="37" t="s">
        <v>85</v>
      </c>
      <c r="C98" s="29">
        <v>31</v>
      </c>
      <c r="D98" s="29">
        <v>69</v>
      </c>
      <c r="E98" s="29">
        <v>71</v>
      </c>
      <c r="J98" s="29"/>
    </row>
    <row r="99" spans="2:10">
      <c r="B99" s="37" t="s">
        <v>86</v>
      </c>
      <c r="C99" s="29">
        <v>-14</v>
      </c>
      <c r="D99" s="29">
        <v>-50</v>
      </c>
      <c r="E99" s="29">
        <v>-103</v>
      </c>
      <c r="J99" s="29"/>
    </row>
    <row r="100" spans="2:10">
      <c r="B100" s="37" t="s">
        <v>87</v>
      </c>
      <c r="C100" s="29">
        <v>-529</v>
      </c>
      <c r="D100" s="29">
        <v>-648</v>
      </c>
      <c r="E100" s="29">
        <v>-815</v>
      </c>
      <c r="J100" s="29"/>
    </row>
    <row r="101" spans="2:10">
      <c r="B101" s="37" t="s">
        <v>88</v>
      </c>
      <c r="C101" s="29">
        <v>-100</v>
      </c>
      <c r="D101" s="29">
        <v>-139</v>
      </c>
      <c r="E101" s="29">
        <v>-143</v>
      </c>
    </row>
    <row r="102" spans="2:10">
      <c r="B102" s="37" t="s">
        <v>89</v>
      </c>
      <c r="C102" s="29">
        <v>1</v>
      </c>
      <c r="D102" s="29">
        <v>0</v>
      </c>
      <c r="E102" s="29">
        <v>0</v>
      </c>
    </row>
    <row r="103" spans="2:10">
      <c r="B103" s="39" t="s">
        <v>90</v>
      </c>
      <c r="C103" s="32">
        <f>SUM(C94:C102)</f>
        <v>-680</v>
      </c>
      <c r="D103" s="32">
        <f t="shared" ref="D103:E103" si="2">SUM(D94:D102)</f>
        <v>693</v>
      </c>
      <c r="E103" s="32">
        <f t="shared" si="2"/>
        <v>1349</v>
      </c>
    </row>
    <row r="104" spans="2:10">
      <c r="B104" s="37" t="s">
        <v>91</v>
      </c>
      <c r="C104" s="29">
        <v>-203</v>
      </c>
      <c r="D104" s="29">
        <v>-348</v>
      </c>
      <c r="E104" s="29">
        <v>-1117</v>
      </c>
    </row>
    <row r="105" spans="2:10">
      <c r="B105" s="37" t="s">
        <v>92</v>
      </c>
      <c r="C105" s="29">
        <v>-43</v>
      </c>
      <c r="D105" s="29">
        <v>-5</v>
      </c>
      <c r="E105" s="29">
        <v>-88</v>
      </c>
    </row>
    <row r="106" spans="2:10">
      <c r="B106" s="37" t="s">
        <v>93</v>
      </c>
      <c r="C106" s="29">
        <v>-71</v>
      </c>
      <c r="D106" s="29">
        <v>211</v>
      </c>
      <c r="E106" s="29">
        <v>629</v>
      </c>
    </row>
    <row r="107" spans="2:10">
      <c r="B107" s="37" t="s">
        <v>94</v>
      </c>
      <c r="C107" s="29">
        <v>-202</v>
      </c>
      <c r="D107" s="29">
        <v>-159</v>
      </c>
      <c r="E107" s="29">
        <v>-812</v>
      </c>
    </row>
    <row r="108" spans="2:10">
      <c r="B108" s="37" t="s">
        <v>95</v>
      </c>
      <c r="C108" s="29">
        <v>343</v>
      </c>
      <c r="D108" s="29">
        <v>419</v>
      </c>
      <c r="E108" s="29">
        <v>295</v>
      </c>
    </row>
    <row r="109" spans="2:10">
      <c r="B109" s="37" t="s">
        <v>96</v>
      </c>
      <c r="C109" s="38">
        <f>SUM(C104:C108)</f>
        <v>-176</v>
      </c>
      <c r="D109" s="38">
        <f t="shared" ref="D109:E109" si="3">SUM(D104:D108)</f>
        <v>118</v>
      </c>
      <c r="E109" s="38">
        <f t="shared" si="3"/>
        <v>-1093</v>
      </c>
    </row>
    <row r="110" spans="2:10">
      <c r="B110" s="39" t="s">
        <v>97</v>
      </c>
      <c r="C110" s="32">
        <f>C103+C109</f>
        <v>-856</v>
      </c>
      <c r="D110" s="32">
        <f t="shared" ref="D110:E110" si="4">D103+D109</f>
        <v>811</v>
      </c>
      <c r="E110" s="32">
        <f t="shared" si="4"/>
        <v>256</v>
      </c>
    </row>
    <row r="111" spans="2:10">
      <c r="B111" s="37" t="s">
        <v>98</v>
      </c>
      <c r="C111" s="29">
        <v>-31</v>
      </c>
      <c r="D111" s="29">
        <v>-105</v>
      </c>
      <c r="E111" s="29">
        <v>-118</v>
      </c>
      <c r="F111" s="35"/>
    </row>
    <row r="112" spans="2:10">
      <c r="B112" s="18" t="s">
        <v>99</v>
      </c>
      <c r="C112" s="32">
        <f>SUM(C110:C111)</f>
        <v>-887</v>
      </c>
      <c r="D112" s="32">
        <f t="shared" ref="D112:E112" si="5">SUM(D110:D111)</f>
        <v>706</v>
      </c>
      <c r="E112" s="32">
        <f t="shared" si="5"/>
        <v>138</v>
      </c>
      <c r="F112" s="34"/>
    </row>
    <row r="113" spans="2:8">
      <c r="B113" s="28"/>
      <c r="C113" s="29"/>
      <c r="D113" s="27"/>
      <c r="E113" s="29"/>
      <c r="F113" s="17"/>
    </row>
    <row r="114" spans="2:8">
      <c r="B114" s="73" t="s">
        <v>100</v>
      </c>
      <c r="C114" s="29"/>
      <c r="D114" s="29"/>
      <c r="E114" s="29"/>
      <c r="F114" s="35"/>
      <c r="G114" s="7"/>
      <c r="H114" s="7"/>
    </row>
    <row r="115" spans="2:8">
      <c r="B115" s="28" t="s">
        <v>101</v>
      </c>
      <c r="C115" s="29">
        <v>-103</v>
      </c>
      <c r="D115" s="29">
        <v>-215</v>
      </c>
      <c r="E115" s="29">
        <v>-936</v>
      </c>
      <c r="F115" s="35"/>
    </row>
    <row r="116" spans="2:8">
      <c r="B116" s="28" t="s">
        <v>102</v>
      </c>
      <c r="C116" s="29">
        <v>2</v>
      </c>
      <c r="D116" s="29">
        <v>13</v>
      </c>
      <c r="E116" s="29">
        <v>5</v>
      </c>
      <c r="F116" s="35"/>
    </row>
    <row r="117" spans="2:8">
      <c r="B117" s="28" t="s">
        <v>103</v>
      </c>
      <c r="C117" s="29">
        <v>-20491</v>
      </c>
      <c r="D117" s="29">
        <v>-37146</v>
      </c>
      <c r="E117" s="29">
        <v>-55671</v>
      </c>
      <c r="F117" s="35"/>
    </row>
    <row r="118" spans="2:8">
      <c r="B118" s="28" t="s">
        <v>104</v>
      </c>
      <c r="C118" s="29">
        <v>21370</v>
      </c>
      <c r="D118" s="29">
        <v>36383</v>
      </c>
      <c r="E118" s="29">
        <v>49795</v>
      </c>
      <c r="F118" s="35"/>
    </row>
    <row r="119" spans="2:8">
      <c r="B119" s="28" t="s">
        <v>105</v>
      </c>
      <c r="C119" s="29">
        <v>-61</v>
      </c>
      <c r="D119" s="29">
        <v>0</v>
      </c>
      <c r="E119" s="29">
        <v>-2005</v>
      </c>
      <c r="F119" s="35"/>
    </row>
    <row r="120" spans="2:8" ht="15.75" customHeight="1">
      <c r="B120" s="28" t="s">
        <v>50</v>
      </c>
      <c r="C120" s="29">
        <v>-750</v>
      </c>
      <c r="D120" s="29">
        <v>0</v>
      </c>
      <c r="E120" s="29">
        <v>0</v>
      </c>
      <c r="F120" s="35"/>
    </row>
    <row r="121" spans="2:8">
      <c r="B121" s="28" t="s">
        <v>106</v>
      </c>
      <c r="C121" s="29">
        <v>490</v>
      </c>
      <c r="D121" s="29">
        <v>618</v>
      </c>
      <c r="E121" s="29">
        <v>819</v>
      </c>
      <c r="F121" s="35"/>
    </row>
    <row r="122" spans="2:8">
      <c r="B122" s="18" t="s">
        <v>107</v>
      </c>
      <c r="C122" s="32">
        <f>SUM(C115:C121)</f>
        <v>457</v>
      </c>
      <c r="D122" s="32">
        <f t="shared" ref="D122:E122" si="6">SUM(D115:D121)</f>
        <v>-347</v>
      </c>
      <c r="E122" s="32">
        <f t="shared" si="6"/>
        <v>-7993</v>
      </c>
      <c r="F122" s="35"/>
    </row>
    <row r="123" spans="2:8">
      <c r="B123" s="26"/>
      <c r="C123" s="29"/>
      <c r="D123" s="29"/>
      <c r="E123" s="29"/>
    </row>
    <row r="124" spans="2:8">
      <c r="B124" s="73" t="s">
        <v>108</v>
      </c>
      <c r="C124" s="29"/>
      <c r="D124" s="29"/>
      <c r="E124" s="29"/>
      <c r="F124" s="35"/>
      <c r="G124" s="7"/>
      <c r="H124" s="7"/>
    </row>
    <row r="125" spans="2:8">
      <c r="B125" s="28" t="s">
        <v>109</v>
      </c>
      <c r="C125" s="29">
        <v>11</v>
      </c>
      <c r="D125" s="29">
        <v>31</v>
      </c>
      <c r="E125" s="29">
        <v>8451</v>
      </c>
      <c r="F125" s="36"/>
    </row>
    <row r="126" spans="2:8">
      <c r="B126" s="28" t="s">
        <v>110</v>
      </c>
      <c r="C126" s="29">
        <v>-23</v>
      </c>
      <c r="D126" s="29">
        <v>-40</v>
      </c>
      <c r="E126" s="29">
        <v>0</v>
      </c>
      <c r="F126" s="36"/>
    </row>
    <row r="127" spans="2:8">
      <c r="B127" s="28" t="s">
        <v>111</v>
      </c>
      <c r="C127" s="29">
        <v>-65</v>
      </c>
      <c r="D127" s="29">
        <v>-129</v>
      </c>
      <c r="E127" s="29">
        <v>-258</v>
      </c>
      <c r="F127" s="36"/>
    </row>
    <row r="128" spans="2:8">
      <c r="B128" s="28" t="s">
        <v>112</v>
      </c>
      <c r="C128" s="29">
        <v>-41</v>
      </c>
      <c r="D128" s="29">
        <v>-67</v>
      </c>
      <c r="E128" s="29">
        <v>-147</v>
      </c>
    </row>
    <row r="129" spans="2:6">
      <c r="B129" s="28" t="s">
        <v>113</v>
      </c>
      <c r="C129" s="29">
        <v>-9</v>
      </c>
      <c r="D129" s="29">
        <v>-2</v>
      </c>
      <c r="E129" s="29">
        <v>-4</v>
      </c>
    </row>
    <row r="130" spans="2:6">
      <c r="B130" s="18" t="s">
        <v>114</v>
      </c>
      <c r="C130" s="32">
        <f>SUM(C125:C129)</f>
        <v>-127</v>
      </c>
      <c r="D130" s="32">
        <f t="shared" ref="D130:E130" si="7">SUM(D125:D129)</f>
        <v>-207</v>
      </c>
      <c r="E130" s="32">
        <f t="shared" si="7"/>
        <v>8042</v>
      </c>
    </row>
    <row r="131" spans="2:6">
      <c r="B131" s="28"/>
      <c r="C131" s="27"/>
      <c r="D131" s="27"/>
      <c r="E131" s="27"/>
      <c r="F131" s="2"/>
    </row>
    <row r="132" spans="2:6">
      <c r="B132" s="2"/>
      <c r="C132" s="29"/>
      <c r="D132" s="29"/>
      <c r="E132" s="29"/>
    </row>
    <row r="133" spans="2:6">
      <c r="B133" s="28" t="s">
        <v>115</v>
      </c>
      <c r="C133" s="29">
        <f>C112</f>
        <v>-887</v>
      </c>
      <c r="D133" s="29">
        <f t="shared" ref="D133:E133" si="8">D112</f>
        <v>706</v>
      </c>
      <c r="E133" s="29">
        <f t="shared" si="8"/>
        <v>138</v>
      </c>
    </row>
    <row r="134" spans="2:6">
      <c r="B134" s="28" t="s">
        <v>116</v>
      </c>
      <c r="C134" s="29">
        <f>C122</f>
        <v>457</v>
      </c>
      <c r="D134" s="29">
        <f t="shared" ref="D134:E134" si="9">D122</f>
        <v>-347</v>
      </c>
      <c r="E134" s="29">
        <f t="shared" si="9"/>
        <v>-7993</v>
      </c>
    </row>
    <row r="135" spans="2:6">
      <c r="B135" s="28" t="s">
        <v>117</v>
      </c>
      <c r="C135" s="29">
        <f>C130</f>
        <v>-127</v>
      </c>
      <c r="D135" s="29">
        <f t="shared" ref="D135:E135" si="10">D130</f>
        <v>-207</v>
      </c>
      <c r="E135" s="29">
        <f t="shared" si="10"/>
        <v>8042</v>
      </c>
    </row>
    <row r="136" spans="2:6">
      <c r="B136" s="18" t="s">
        <v>118</v>
      </c>
      <c r="C136" s="32">
        <f>SUM(C133:C135)</f>
        <v>-557</v>
      </c>
      <c r="D136" s="32">
        <f t="shared" ref="D136:E136" si="11">SUM(D133:D135)</f>
        <v>152</v>
      </c>
      <c r="E136" s="32">
        <f t="shared" si="11"/>
        <v>187</v>
      </c>
    </row>
    <row r="137" spans="2:6">
      <c r="B137" s="28" t="s">
        <v>119</v>
      </c>
      <c r="C137" s="29">
        <v>339</v>
      </c>
      <c r="D137" s="29">
        <v>0</v>
      </c>
      <c r="E137" s="29"/>
    </row>
    <row r="138" spans="2:6">
      <c r="B138" s="28" t="s">
        <v>120</v>
      </c>
      <c r="C138" s="29">
        <v>1</v>
      </c>
      <c r="D138" s="29">
        <v>-1</v>
      </c>
      <c r="E138" s="29">
        <v>0</v>
      </c>
    </row>
    <row r="139" spans="2:6">
      <c r="B139" s="28" t="s">
        <v>121</v>
      </c>
      <c r="C139" s="29">
        <v>392</v>
      </c>
      <c r="D139" s="29">
        <v>218</v>
      </c>
      <c r="E139" s="29">
        <v>309</v>
      </c>
    </row>
    <row r="140" spans="2:6">
      <c r="B140" s="18" t="s">
        <v>122</v>
      </c>
      <c r="C140" s="32">
        <f>SUM(C136:C139)</f>
        <v>175</v>
      </c>
      <c r="D140" s="32">
        <f t="shared" ref="D140:E140" si="12">SUM(D136:D139)</f>
        <v>369</v>
      </c>
      <c r="E140" s="32">
        <f t="shared" si="12"/>
        <v>496</v>
      </c>
    </row>
    <row r="141" spans="2:6">
      <c r="B141" s="28"/>
      <c r="C141" s="27"/>
      <c r="D141" s="27"/>
      <c r="E141" s="27"/>
    </row>
    <row r="142" spans="2:6">
      <c r="B142" s="92" t="s">
        <v>123</v>
      </c>
      <c r="C142" s="93">
        <f>C60-(C84+C66)</f>
        <v>0</v>
      </c>
      <c r="D142" s="93">
        <f t="shared" ref="D142:E142" si="13">D60-(D84+D66)</f>
        <v>0</v>
      </c>
      <c r="E142" s="93">
        <f t="shared" si="13"/>
        <v>0</v>
      </c>
    </row>
    <row r="143" spans="2:6">
      <c r="B143" s="28"/>
      <c r="C143" s="29"/>
      <c r="D143" s="29"/>
      <c r="E143" s="30"/>
    </row>
    <row r="144" spans="2:6">
      <c r="B144" s="28"/>
      <c r="C144" s="29"/>
      <c r="D144" s="29"/>
      <c r="E144" s="29"/>
    </row>
    <row r="145" spans="2:5">
      <c r="B145" s="28"/>
      <c r="C145" s="29"/>
      <c r="D145" s="29"/>
      <c r="E145" s="29"/>
    </row>
    <row r="146" spans="2:5">
      <c r="B146" s="26"/>
      <c r="C146" s="30"/>
      <c r="D146" s="30"/>
      <c r="E146" s="30"/>
    </row>
    <row r="147" spans="2:5">
      <c r="B147" s="27"/>
      <c r="C147" s="22"/>
      <c r="D147" s="22"/>
      <c r="E147" s="22"/>
    </row>
    <row r="148" spans="2:5">
      <c r="B148" s="26"/>
      <c r="C148" s="26"/>
      <c r="D148" s="26"/>
      <c r="E148" s="26"/>
    </row>
    <row r="149" spans="2:5">
      <c r="B149" s="28"/>
      <c r="C149" s="29"/>
      <c r="D149" s="29"/>
      <c r="E149" s="29"/>
    </row>
    <row r="150" spans="2:5">
      <c r="B150" s="28"/>
      <c r="C150" s="29"/>
      <c r="D150" s="29"/>
      <c r="E150" s="29"/>
    </row>
    <row r="151" spans="2:5">
      <c r="B151" s="28"/>
      <c r="C151" s="29"/>
      <c r="D151" s="29"/>
      <c r="E151" s="29"/>
    </row>
    <row r="152" spans="2:5">
      <c r="B152" s="26"/>
      <c r="C152" s="30"/>
      <c r="D152" s="30"/>
      <c r="E152" s="30"/>
    </row>
    <row r="153" spans="2:5">
      <c r="B153" s="27"/>
      <c r="C153" s="27"/>
      <c r="D153" s="27"/>
      <c r="E153" s="27"/>
    </row>
    <row r="154" spans="2:5">
      <c r="B154" s="27"/>
      <c r="C154" s="27"/>
      <c r="D154" s="27"/>
      <c r="E154" s="27"/>
    </row>
    <row r="155" spans="2:5">
      <c r="B155" s="26"/>
      <c r="C155" s="29"/>
      <c r="D155" s="29"/>
      <c r="E155" s="29"/>
    </row>
    <row r="156" spans="2:5">
      <c r="B156" s="26"/>
      <c r="C156" s="29"/>
      <c r="D156" s="29"/>
      <c r="E156" s="29"/>
    </row>
    <row r="157" spans="2:5">
      <c r="B157" s="26"/>
      <c r="C157" s="29"/>
      <c r="D157" s="29"/>
      <c r="E157" s="29"/>
    </row>
    <row r="158" spans="2:5">
      <c r="B158" s="26"/>
      <c r="C158" s="29"/>
      <c r="D158" s="29"/>
      <c r="E158" s="29"/>
    </row>
    <row r="159" spans="2:5">
      <c r="B159" s="26"/>
      <c r="C159" s="30"/>
      <c r="D159" s="30"/>
      <c r="E159" s="30"/>
    </row>
    <row r="160" spans="2:5">
      <c r="B160" s="26"/>
      <c r="C160" s="29"/>
      <c r="D160" s="29"/>
      <c r="E160" s="29"/>
    </row>
    <row r="161" spans="2:5">
      <c r="B161" s="26"/>
      <c r="C161" s="29"/>
      <c r="D161" s="29"/>
      <c r="E161" s="29"/>
    </row>
    <row r="162" spans="2:5">
      <c r="B162" s="26"/>
      <c r="C162" s="29"/>
      <c r="D162" s="29"/>
      <c r="E162" s="29"/>
    </row>
    <row r="163" spans="2:5">
      <c r="B163" s="26"/>
      <c r="C163" s="30"/>
      <c r="D163" s="30"/>
      <c r="E163" s="30"/>
    </row>
    <row r="164" spans="2:5">
      <c r="B164" s="26"/>
      <c r="C164" s="29"/>
      <c r="D164" s="29"/>
      <c r="E164" s="29"/>
    </row>
    <row r="165" spans="2:5">
      <c r="B165" s="26"/>
      <c r="C165" s="29"/>
      <c r="D165" s="29"/>
      <c r="E165" s="29"/>
    </row>
    <row r="166" spans="2:5">
      <c r="B166" s="26"/>
      <c r="C166" s="29"/>
      <c r="D166" s="29"/>
      <c r="E166" s="29"/>
    </row>
    <row r="167" spans="2:5">
      <c r="B167" s="26"/>
      <c r="C167" s="30"/>
      <c r="D167" s="30"/>
      <c r="E167" s="30"/>
    </row>
    <row r="168" spans="2:5">
      <c r="B168" s="26"/>
      <c r="C168" s="29"/>
      <c r="D168" s="29"/>
      <c r="E168" s="29"/>
    </row>
    <row r="169" spans="2:5">
      <c r="B169" s="26"/>
      <c r="C169" s="29"/>
      <c r="D169" s="29"/>
      <c r="E169" s="29"/>
    </row>
    <row r="170" spans="2:5">
      <c r="B170" s="26"/>
      <c r="C170" s="29"/>
      <c r="D170" s="29"/>
      <c r="E170" s="29"/>
    </row>
    <row r="171" spans="2:5">
      <c r="B171" s="26"/>
      <c r="C171" s="30"/>
      <c r="D171" s="30"/>
      <c r="E171" s="30"/>
    </row>
  </sheetData>
  <mergeCells count="3">
    <mergeCell ref="C10:E10"/>
    <mergeCell ref="C32:E32"/>
    <mergeCell ref="C89:E8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7"/>
  <sheetViews>
    <sheetView workbookViewId="0">
      <selection activeCell="K24" sqref="K24"/>
    </sheetView>
  </sheetViews>
  <sheetFormatPr defaultRowHeight="14.45"/>
  <cols>
    <col min="1" max="1" width="3.5703125" customWidth="1"/>
    <col min="2" max="2" width="36.140625" customWidth="1"/>
    <col min="3" max="3" width="11.28515625" customWidth="1"/>
    <col min="4" max="4" width="11" customWidth="1"/>
    <col min="5" max="5" width="10.85546875" customWidth="1"/>
    <col min="6" max="6" width="11.5703125" customWidth="1"/>
    <col min="7" max="7" width="10.7109375" bestFit="1" customWidth="1"/>
  </cols>
  <sheetData>
    <row r="2" spans="1:7">
      <c r="B2" s="53" t="s">
        <v>124</v>
      </c>
      <c r="C2" s="24" t="s">
        <v>125</v>
      </c>
      <c r="D2" s="24" t="s">
        <v>126</v>
      </c>
      <c r="E2" s="24" t="s">
        <v>127</v>
      </c>
      <c r="F2" s="24" t="s">
        <v>128</v>
      </c>
      <c r="G2" s="24" t="s">
        <v>129</v>
      </c>
    </row>
    <row r="3" spans="1:7">
      <c r="B3" s="55" t="s">
        <v>130</v>
      </c>
      <c r="C3" s="44">
        <v>0.3</v>
      </c>
      <c r="D3" s="44">
        <v>0.25</v>
      </c>
      <c r="E3" s="44">
        <v>0.2</v>
      </c>
      <c r="F3" s="59">
        <v>0.15</v>
      </c>
      <c r="G3" s="59">
        <v>0.12</v>
      </c>
    </row>
    <row r="4" spans="1:7">
      <c r="B4" s="55" t="s">
        <v>131</v>
      </c>
      <c r="C4" s="44">
        <v>0.1</v>
      </c>
      <c r="D4" s="44">
        <v>0.1</v>
      </c>
      <c r="E4" s="44">
        <v>0.1</v>
      </c>
      <c r="F4" s="44">
        <v>0.1</v>
      </c>
      <c r="G4" s="44">
        <v>0.1</v>
      </c>
    </row>
    <row r="5" spans="1:7">
      <c r="B5" s="55" t="s">
        <v>132</v>
      </c>
      <c r="C5" s="44">
        <v>0.28000000000000003</v>
      </c>
      <c r="D5" s="44">
        <v>0.28000000000000003</v>
      </c>
      <c r="E5" s="44">
        <v>0.28000000000000003</v>
      </c>
      <c r="F5" s="59">
        <v>0.28000000000000003</v>
      </c>
      <c r="G5" s="59">
        <v>0.28000000000000003</v>
      </c>
    </row>
    <row r="6" spans="1:7">
      <c r="B6" s="55" t="s">
        <v>133</v>
      </c>
      <c r="C6" s="45">
        <v>0.125</v>
      </c>
      <c r="D6" s="45">
        <v>0.12</v>
      </c>
      <c r="E6" s="45">
        <v>0.115</v>
      </c>
      <c r="F6" s="59">
        <v>0.11</v>
      </c>
      <c r="G6" s="51">
        <v>0.105</v>
      </c>
    </row>
    <row r="7" spans="1:7">
      <c r="B7" s="55" t="s">
        <v>134</v>
      </c>
      <c r="C7" s="44">
        <v>0.55000000000000004</v>
      </c>
      <c r="D7" s="44">
        <v>0.53</v>
      </c>
      <c r="E7" s="44">
        <v>0.51</v>
      </c>
      <c r="F7" s="59">
        <v>0.49</v>
      </c>
      <c r="G7" s="59">
        <v>0.48</v>
      </c>
    </row>
    <row r="8" spans="1:7">
      <c r="B8" s="55" t="s">
        <v>135</v>
      </c>
      <c r="C8" s="44">
        <v>0.04</v>
      </c>
      <c r="D8" s="44">
        <v>0.04</v>
      </c>
      <c r="E8" s="44">
        <v>0.04</v>
      </c>
      <c r="F8" s="44">
        <v>0.04</v>
      </c>
      <c r="G8" s="44">
        <v>0.04</v>
      </c>
    </row>
    <row r="9" spans="1:7">
      <c r="B9" s="55" t="s">
        <v>136</v>
      </c>
      <c r="C9" s="46">
        <v>154</v>
      </c>
      <c r="D9" s="46">
        <v>154</v>
      </c>
      <c r="E9" s="46">
        <v>154</v>
      </c>
      <c r="F9" s="46">
        <v>154</v>
      </c>
      <c r="G9" s="46">
        <v>154</v>
      </c>
    </row>
    <row r="10" spans="1:7">
      <c r="B10" s="55" t="s">
        <v>137</v>
      </c>
      <c r="C10" s="44">
        <v>0.25</v>
      </c>
      <c r="D10" s="44">
        <v>0.25</v>
      </c>
      <c r="E10" s="44">
        <v>0.25</v>
      </c>
      <c r="F10" s="44">
        <v>0.25</v>
      </c>
      <c r="G10" s="44">
        <v>0.25</v>
      </c>
    </row>
    <row r="11" spans="1:7">
      <c r="B11" s="55" t="s">
        <v>138</v>
      </c>
      <c r="C11" s="46">
        <v>35</v>
      </c>
      <c r="D11" s="46">
        <v>34</v>
      </c>
      <c r="E11" s="46">
        <v>33</v>
      </c>
      <c r="F11">
        <v>32</v>
      </c>
      <c r="G11">
        <v>31</v>
      </c>
    </row>
    <row r="12" spans="1:7">
      <c r="B12" s="55" t="s">
        <v>139</v>
      </c>
      <c r="C12" s="46">
        <v>95</v>
      </c>
      <c r="D12" s="46">
        <v>92</v>
      </c>
      <c r="E12" s="46">
        <v>90</v>
      </c>
      <c r="F12">
        <v>88</v>
      </c>
      <c r="G12">
        <v>85</v>
      </c>
    </row>
    <row r="13" spans="1:7" ht="15.6">
      <c r="A13" s="6" t="s">
        <v>140</v>
      </c>
      <c r="B13" s="55" t="s">
        <v>141</v>
      </c>
      <c r="C13" s="44">
        <v>0.06</v>
      </c>
      <c r="D13" s="44">
        <v>0.06</v>
      </c>
      <c r="E13" s="44">
        <v>0.05</v>
      </c>
      <c r="F13" s="44">
        <v>0.05</v>
      </c>
      <c r="G13" s="44">
        <v>0.04</v>
      </c>
    </row>
    <row r="14" spans="1:7">
      <c r="B14" s="55" t="s">
        <v>142</v>
      </c>
      <c r="C14">
        <v>11</v>
      </c>
      <c r="D14">
        <v>11</v>
      </c>
      <c r="E14">
        <v>11</v>
      </c>
      <c r="F14">
        <v>11</v>
      </c>
      <c r="G14">
        <v>11</v>
      </c>
    </row>
    <row r="15" spans="1:7">
      <c r="B15" s="55" t="s">
        <v>143</v>
      </c>
      <c r="C15">
        <v>798</v>
      </c>
      <c r="D15">
        <v>850</v>
      </c>
      <c r="E15">
        <v>900</v>
      </c>
      <c r="F15">
        <v>950</v>
      </c>
      <c r="G15">
        <v>1000</v>
      </c>
    </row>
    <row r="16" spans="1:7">
      <c r="B16" s="55" t="s">
        <v>144</v>
      </c>
      <c r="C16" s="49">
        <f>'Financial Model'!C57/'Financial Model'!C4</f>
        <v>2.2328706219433878E-2</v>
      </c>
      <c r="D16" s="49">
        <f>'Financial Model'!D57/'Financial Model'!D4</f>
        <v>2.2328706219433878E-2</v>
      </c>
      <c r="E16" s="49">
        <f>'Financial Model'!E57/'Financial Model'!E4</f>
        <v>2.2328706219433878E-2</v>
      </c>
      <c r="F16" s="49">
        <f>'Financial Model'!F57/'Financial Model'!F4</f>
        <v>2.2328706219433878E-2</v>
      </c>
      <c r="G16" s="49">
        <f>'Financial Model'!G57/'Financial Model'!G4</f>
        <v>2.2328706219433878E-2</v>
      </c>
    </row>
    <row r="17" spans="2:7" ht="15">
      <c r="B17" s="4"/>
      <c r="C17" s="49"/>
      <c r="D17" s="49"/>
      <c r="E17" s="49"/>
      <c r="F17" s="49"/>
      <c r="G17" s="49"/>
    </row>
    <row r="18" spans="2:7">
      <c r="C18" s="100"/>
      <c r="D18" s="100"/>
      <c r="E18" s="100"/>
    </row>
    <row r="19" spans="2:7" ht="15.6">
      <c r="B19" s="61" t="s">
        <v>145</v>
      </c>
      <c r="C19" s="62"/>
      <c r="D19" s="62"/>
      <c r="E19" s="62"/>
      <c r="F19" s="62"/>
      <c r="G19" s="62"/>
    </row>
    <row r="20" spans="2:7">
      <c r="B20" s="60" t="s">
        <v>146</v>
      </c>
      <c r="C20" s="82" t="s">
        <v>147</v>
      </c>
      <c r="D20" s="82" t="s">
        <v>148</v>
      </c>
      <c r="E20" s="82" t="s">
        <v>149</v>
      </c>
      <c r="F20" s="82" t="s">
        <v>150</v>
      </c>
      <c r="G20" s="82" t="s">
        <v>151</v>
      </c>
    </row>
    <row r="21" spans="2:7" ht="15">
      <c r="B21" s="101" t="s">
        <v>152</v>
      </c>
      <c r="C21" s="102">
        <v>1918</v>
      </c>
      <c r="D21" s="102">
        <v>2078</v>
      </c>
      <c r="E21" s="102">
        <v>2253</v>
      </c>
      <c r="F21" s="33">
        <f>E24</f>
        <v>2403</v>
      </c>
      <c r="G21" s="33">
        <f>F24</f>
        <v>2554.6666666666661</v>
      </c>
    </row>
    <row r="22" spans="2:7" ht="15">
      <c r="B22" s="103" t="s">
        <v>153</v>
      </c>
      <c r="C22" s="100">
        <v>240</v>
      </c>
      <c r="D22" s="100">
        <v>300</v>
      </c>
      <c r="E22" s="100">
        <v>250</v>
      </c>
      <c r="F22" s="104">
        <v>273.33333333333297</v>
      </c>
      <c r="G22" s="104">
        <v>273.33333333333297</v>
      </c>
    </row>
    <row r="23" spans="2:7" ht="15">
      <c r="B23" s="103" t="s">
        <v>154</v>
      </c>
      <c r="C23" s="100">
        <v>-80</v>
      </c>
      <c r="D23" s="100">
        <v>-125</v>
      </c>
      <c r="E23" s="100">
        <v>-100</v>
      </c>
      <c r="F23" s="104">
        <v>-121.666666666667</v>
      </c>
      <c r="G23" s="104">
        <v>-121.666666666667</v>
      </c>
    </row>
    <row r="24" spans="2:7">
      <c r="B24" s="63" t="s">
        <v>155</v>
      </c>
      <c r="C24" s="64">
        <f>SUM(C21:C23)</f>
        <v>2078</v>
      </c>
      <c r="D24" s="64">
        <f t="shared" ref="D24:F24" si="0">SUM(D21:D23)</f>
        <v>2253</v>
      </c>
      <c r="E24" s="64">
        <f t="shared" si="0"/>
        <v>2403</v>
      </c>
      <c r="F24" s="64">
        <f t="shared" si="0"/>
        <v>2554.6666666666661</v>
      </c>
      <c r="G24" s="64">
        <f t="shared" ref="G24" si="1">SUM(G21:G23)</f>
        <v>2706.3333333333321</v>
      </c>
    </row>
    <row r="26" spans="2:7" ht="15"/>
    <row r="27" spans="2:7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3"/>
  <sheetViews>
    <sheetView workbookViewId="0">
      <selection activeCell="B4" sqref="B4"/>
    </sheetView>
  </sheetViews>
  <sheetFormatPr defaultRowHeight="14.45"/>
  <cols>
    <col min="1" max="1" width="4" customWidth="1"/>
    <col min="2" max="2" width="42" customWidth="1"/>
    <col min="3" max="3" width="15.28515625" customWidth="1"/>
    <col min="4" max="5" width="13.42578125" customWidth="1"/>
    <col min="6" max="6" width="13" customWidth="1"/>
  </cols>
  <sheetData>
    <row r="1" spans="2:14" ht="15"/>
    <row r="2" spans="2:14" ht="15">
      <c r="B2" s="86" t="s">
        <v>7</v>
      </c>
      <c r="G2" s="2"/>
    </row>
    <row r="3" spans="2:14" ht="15">
      <c r="B3" s="53" t="s">
        <v>156</v>
      </c>
      <c r="C3" s="57" t="s">
        <v>157</v>
      </c>
      <c r="D3" s="57" t="s">
        <v>125</v>
      </c>
      <c r="E3" s="57" t="s">
        <v>126</v>
      </c>
      <c r="F3" s="57" t="s">
        <v>127</v>
      </c>
      <c r="G3" s="57" t="s">
        <v>128</v>
      </c>
      <c r="H3" s="57" t="s">
        <v>129</v>
      </c>
    </row>
    <row r="4" spans="2:14" ht="15">
      <c r="B4" s="77" t="s">
        <v>158</v>
      </c>
      <c r="C4" s="33">
        <f>'Historical Data'!E15</f>
        <v>20243</v>
      </c>
      <c r="D4" s="33">
        <f>C4*(1+Assumptions!C3)</f>
        <v>26315.9</v>
      </c>
      <c r="E4" s="33">
        <f>D4*(1+Assumptions!D3)</f>
        <v>32894.875</v>
      </c>
      <c r="F4" s="33">
        <f>E4*(1+Assumptions!E3)</f>
        <v>39473.85</v>
      </c>
      <c r="G4" s="33">
        <f>F4*(1+Assumptions!F3)</f>
        <v>45394.927499999998</v>
      </c>
      <c r="H4" s="33">
        <f>G4*(1+Assumptions!G3)</f>
        <v>50842.318800000001</v>
      </c>
    </row>
    <row r="5" spans="2:14" ht="15">
      <c r="B5" s="77" t="s">
        <v>16</v>
      </c>
      <c r="C5" s="33">
        <f>'Historical Data'!E16</f>
        <v>1077</v>
      </c>
      <c r="D5" s="33">
        <f>C5*(1+Assumptions!C4)</f>
        <v>1184.7</v>
      </c>
      <c r="E5" s="33">
        <f>D5*(1+Assumptions!D4)</f>
        <v>1303.17</v>
      </c>
      <c r="F5" s="33">
        <f>E5*(1+Assumptions!E4)</f>
        <v>1433.4870000000003</v>
      </c>
      <c r="G5" s="33">
        <f>F5*(1+Assumptions!F4)</f>
        <v>1576.8357000000005</v>
      </c>
      <c r="H5" s="33">
        <f>G5*(1+Assumptions!G4)</f>
        <v>1734.5192700000007</v>
      </c>
    </row>
    <row r="6" spans="2:14" ht="15">
      <c r="B6" s="10" t="s">
        <v>159</v>
      </c>
      <c r="C6" s="19">
        <f>SUM(C4:C5)</f>
        <v>21320</v>
      </c>
      <c r="D6" s="19">
        <f t="shared" ref="D6:F6" si="0">SUM(D4:D5)</f>
        <v>27500.600000000002</v>
      </c>
      <c r="E6" s="19">
        <f t="shared" si="0"/>
        <v>34198.044999999998</v>
      </c>
      <c r="F6" s="19">
        <f t="shared" si="0"/>
        <v>40907.337</v>
      </c>
      <c r="G6" s="19">
        <f t="shared" ref="G6:H6" si="1">SUM(G4:G5)</f>
        <v>46971.763200000001</v>
      </c>
      <c r="H6" s="19">
        <f t="shared" si="1"/>
        <v>52576.838069999998</v>
      </c>
    </row>
    <row r="7" spans="2:14">
      <c r="B7" s="11" t="s">
        <v>160</v>
      </c>
      <c r="C7" s="33"/>
      <c r="D7" s="33">
        <f>D4*Assumptions!C5</f>
        <v>7368.4520000000011</v>
      </c>
      <c r="E7" s="33">
        <f>E4*Assumptions!D5</f>
        <v>9210.5650000000005</v>
      </c>
      <c r="F7" s="33">
        <f>F4*Assumptions!E5</f>
        <v>11052.678</v>
      </c>
      <c r="G7" s="33">
        <f>G4*Assumptions!F5</f>
        <v>12710.5797</v>
      </c>
      <c r="H7" s="33">
        <f>H4*Assumptions!G5</f>
        <v>14235.849264000002</v>
      </c>
    </row>
    <row r="8" spans="2:14">
      <c r="B8" s="4" t="s">
        <v>161</v>
      </c>
      <c r="C8" s="33"/>
      <c r="D8" s="33">
        <f>D4*Assumptions!C6</f>
        <v>3289.4875000000002</v>
      </c>
      <c r="E8" s="33">
        <f>E4*Assumptions!D6</f>
        <v>3947.3849999999998</v>
      </c>
      <c r="F8" s="33">
        <f>F4*Assumptions!E6</f>
        <v>4539.4927500000003</v>
      </c>
      <c r="G8" s="33">
        <f>G4*Assumptions!F6</f>
        <v>4993.4420249999994</v>
      </c>
      <c r="H8" s="33">
        <f>H4*Assumptions!G6</f>
        <v>5338.4434739999997</v>
      </c>
    </row>
    <row r="9" spans="2:14" ht="14.25" customHeight="1">
      <c r="B9" s="4" t="s">
        <v>162</v>
      </c>
      <c r="C9" s="33"/>
      <c r="D9" s="33">
        <f>D4*Assumptions!C8</f>
        <v>1052.636</v>
      </c>
      <c r="E9" s="33">
        <f>E4*Assumptions!D8</f>
        <v>1315.7950000000001</v>
      </c>
      <c r="F9" s="33">
        <f>F4*Assumptions!E8</f>
        <v>1578.954</v>
      </c>
      <c r="G9" s="33">
        <f>G4*Assumptions!F8</f>
        <v>1815.7971</v>
      </c>
      <c r="H9" s="33">
        <f>H4*Assumptions!G8</f>
        <v>2033.6927520000002</v>
      </c>
    </row>
    <row r="10" spans="2:14">
      <c r="B10" s="4" t="s">
        <v>22</v>
      </c>
      <c r="C10" s="33"/>
      <c r="D10" s="33">
        <f>Assumptions!C9</f>
        <v>154</v>
      </c>
      <c r="E10" s="33">
        <f>Assumptions!D9</f>
        <v>154</v>
      </c>
      <c r="F10" s="33">
        <f>Assumptions!E9</f>
        <v>154</v>
      </c>
      <c r="G10" s="33">
        <f>Assumptions!F9</f>
        <v>154</v>
      </c>
      <c r="H10" s="33">
        <f>Assumptions!G9</f>
        <v>154</v>
      </c>
    </row>
    <row r="11" spans="2:14">
      <c r="B11" s="4" t="s">
        <v>24</v>
      </c>
      <c r="C11" s="33"/>
      <c r="D11" s="33">
        <f>D4*Assumptions!C7</f>
        <v>14473.745000000003</v>
      </c>
      <c r="E11" s="33">
        <f>E4*Assumptions!D7</f>
        <v>17434.283750000002</v>
      </c>
      <c r="F11" s="33">
        <f>F4*Assumptions!E7</f>
        <v>20131.663499999999</v>
      </c>
      <c r="G11" s="33">
        <f>G4*Assumptions!F7</f>
        <v>22243.514475</v>
      </c>
      <c r="H11" s="33">
        <f>H4*Assumptions!G7</f>
        <v>24404.313023999999</v>
      </c>
    </row>
    <row r="12" spans="2:14" ht="15">
      <c r="B12" s="10" t="s">
        <v>25</v>
      </c>
      <c r="C12" s="84"/>
      <c r="D12" s="19">
        <f>SUM(D7:D11)</f>
        <v>26338.320500000002</v>
      </c>
      <c r="E12" s="19">
        <f t="shared" ref="E12:F12" si="2">SUM(E7:E11)</f>
        <v>32062.028750000005</v>
      </c>
      <c r="F12" s="19">
        <f t="shared" si="2"/>
        <v>37456.788249999998</v>
      </c>
      <c r="G12" s="19">
        <f t="shared" ref="G12:H12" si="3">SUM(G7:G11)</f>
        <v>41917.333299999998</v>
      </c>
      <c r="H12" s="19">
        <f t="shared" si="3"/>
        <v>46166.298514000002</v>
      </c>
      <c r="N12" s="12"/>
    </row>
    <row r="13" spans="2:14">
      <c r="B13" s="4" t="s">
        <v>26</v>
      </c>
      <c r="C13" s="33"/>
      <c r="D13" s="33">
        <f>D6-D12</f>
        <v>1162.2795000000006</v>
      </c>
      <c r="E13" s="33">
        <f t="shared" ref="E13:F13" si="4">E6-E12</f>
        <v>2136.0162499999933</v>
      </c>
      <c r="F13" s="33">
        <f t="shared" si="4"/>
        <v>3450.5487500000017</v>
      </c>
      <c r="G13" s="33">
        <f t="shared" ref="G13:H13" si="5">G6-G12</f>
        <v>5054.4299000000028</v>
      </c>
      <c r="H13" s="33">
        <f t="shared" si="5"/>
        <v>6410.5395559999961</v>
      </c>
    </row>
    <row r="14" spans="2:14">
      <c r="B14" s="4" t="s">
        <v>163</v>
      </c>
      <c r="C14" s="33"/>
      <c r="D14" s="33">
        <f>IF(D13&gt;0,D13*Assumptions!C10,0)</f>
        <v>290.56987500000014</v>
      </c>
      <c r="E14" s="33">
        <f>IF(E13&gt;0,E13*Assumptions!D10,0)</f>
        <v>534.00406249999833</v>
      </c>
      <c r="F14" s="33">
        <f>IF(F13&gt;0,F13*Assumptions!E10,0)</f>
        <v>862.63718750000044</v>
      </c>
      <c r="G14" s="33">
        <f>IF(G13&gt;0,G13*Assumptions!F10,0)</f>
        <v>1263.6074750000007</v>
      </c>
      <c r="H14" s="33">
        <f>IF(H13&gt;0,H13*Assumptions!G10,0)</f>
        <v>1602.634888999999</v>
      </c>
    </row>
    <row r="15" spans="2:14" ht="15">
      <c r="B15" s="10" t="s">
        <v>28</v>
      </c>
      <c r="C15" s="84"/>
      <c r="D15" s="19">
        <f>D13-D14</f>
        <v>871.70962500000041</v>
      </c>
      <c r="E15" s="19">
        <f>E13-E14</f>
        <v>1602.012187499995</v>
      </c>
      <c r="F15" s="19">
        <f t="shared" ref="F15" si="6">F13-F14</f>
        <v>2587.9115625000013</v>
      </c>
      <c r="G15" s="19">
        <f>G13-G14</f>
        <v>3790.8224250000021</v>
      </c>
      <c r="H15" s="19">
        <f t="shared" ref="H15" si="7">H13-H14</f>
        <v>4807.9046669999971</v>
      </c>
    </row>
    <row r="16" spans="2:14">
      <c r="B16" s="2"/>
    </row>
    <row r="17" spans="2:8">
      <c r="B17" s="70"/>
      <c r="C17" s="35"/>
      <c r="D17" s="35"/>
      <c r="E17" s="35"/>
      <c r="F17" s="35"/>
    </row>
    <row r="18" spans="2:8" ht="15">
      <c r="B18" s="53" t="s">
        <v>164</v>
      </c>
      <c r="C18" s="57" t="s">
        <v>157</v>
      </c>
      <c r="D18" s="57" t="s">
        <v>125</v>
      </c>
      <c r="E18" s="57" t="s">
        <v>126</v>
      </c>
      <c r="F18" s="57" t="s">
        <v>127</v>
      </c>
      <c r="G18" s="57" t="s">
        <v>128</v>
      </c>
      <c r="H18" s="57" t="s">
        <v>129</v>
      </c>
    </row>
    <row r="19" spans="2:8" ht="15">
      <c r="B19" s="78"/>
      <c r="C19" s="79"/>
      <c r="D19" s="79"/>
      <c r="E19" s="79"/>
      <c r="F19" s="79"/>
      <c r="G19" s="79"/>
      <c r="H19" s="79"/>
    </row>
    <row r="20" spans="2:8" ht="15">
      <c r="B20" s="80" t="s">
        <v>165</v>
      </c>
      <c r="C20" s="79"/>
      <c r="D20" s="79"/>
      <c r="E20" s="79"/>
      <c r="F20" s="79"/>
      <c r="G20" s="79"/>
      <c r="H20" s="79"/>
    </row>
    <row r="21" spans="2:8">
      <c r="B21" s="4" t="s">
        <v>47</v>
      </c>
      <c r="C21" s="33">
        <f>'Historical Data'!E52</f>
        <v>1946</v>
      </c>
      <c r="D21" s="33">
        <f>D4*Assumptions!C11/365</f>
        <v>2523.4424657534246</v>
      </c>
      <c r="E21" s="33">
        <f>E4*Assumptions!D11/365</f>
        <v>3064.1801369863015</v>
      </c>
      <c r="F21" s="33">
        <f>F4*Assumptions!E11/365</f>
        <v>3568.8686301369862</v>
      </c>
      <c r="G21" s="33">
        <f>G4*Assumptions!F11/365</f>
        <v>3979.8292602739725</v>
      </c>
      <c r="H21" s="33">
        <f>H4*Assumptions!G11/365</f>
        <v>4318.1147473972605</v>
      </c>
    </row>
    <row r="22" spans="2:8">
      <c r="B22" s="4" t="s">
        <v>92</v>
      </c>
      <c r="C22" s="33">
        <f>'Historical Data'!E50</f>
        <v>176</v>
      </c>
      <c r="D22" s="33">
        <f xml:space="preserve"> D7*Assumptions!C14/365</f>
        <v>222.06293698630139</v>
      </c>
      <c r="E22" s="33">
        <f xml:space="preserve"> E7*Assumptions!D14/365</f>
        <v>277.57867123287673</v>
      </c>
      <c r="F22" s="33">
        <f xml:space="preserve"> F7*Assumptions!E14/365</f>
        <v>333.09440547945206</v>
      </c>
      <c r="G22" s="33">
        <f xml:space="preserve"> G7*Assumptions!F14/365</f>
        <v>383.05856630136986</v>
      </c>
      <c r="H22" s="33">
        <f xml:space="preserve"> H7*Assumptions!G14/365</f>
        <v>429.02559425753435</v>
      </c>
    </row>
    <row r="23" spans="2:8">
      <c r="B23" s="4" t="s">
        <v>166</v>
      </c>
      <c r="C23" s="33">
        <f>'Historical Data'!E51</f>
        <v>2272</v>
      </c>
      <c r="D23" s="33">
        <v>2272</v>
      </c>
      <c r="E23" s="33">
        <v>2272</v>
      </c>
      <c r="F23" s="33">
        <v>2272</v>
      </c>
      <c r="G23" s="33">
        <v>2272</v>
      </c>
      <c r="H23" s="33">
        <v>2272</v>
      </c>
    </row>
    <row r="24" spans="2:8">
      <c r="B24" s="4" t="s">
        <v>167</v>
      </c>
      <c r="C24" s="33">
        <f>'Historical Data'!E54</f>
        <v>2948</v>
      </c>
      <c r="D24" s="33">
        <v>2948</v>
      </c>
      <c r="E24" s="33">
        <v>2948</v>
      </c>
      <c r="F24" s="33">
        <v>2948</v>
      </c>
      <c r="G24" s="33">
        <v>2948</v>
      </c>
      <c r="H24" s="33">
        <v>2948</v>
      </c>
    </row>
    <row r="25" spans="2:8">
      <c r="B25" s="4" t="s">
        <v>168</v>
      </c>
      <c r="C25" s="33">
        <f>'Historical Data'!E56</f>
        <v>2769</v>
      </c>
      <c r="D25" s="33">
        <v>2769</v>
      </c>
      <c r="E25" s="33">
        <v>2769</v>
      </c>
      <c r="F25" s="33">
        <v>2769</v>
      </c>
      <c r="G25" s="33">
        <v>2769</v>
      </c>
      <c r="H25" s="33">
        <v>2769</v>
      </c>
    </row>
    <row r="26" spans="2:8">
      <c r="B26" s="4" t="s">
        <v>52</v>
      </c>
      <c r="C26" s="33">
        <v>924</v>
      </c>
      <c r="D26" s="33">
        <f>D4*(C26/C4)</f>
        <v>1201.2</v>
      </c>
      <c r="E26" s="33">
        <f>E4*(D26/D4)</f>
        <v>1501.5</v>
      </c>
      <c r="F26" s="33">
        <f>F4*(E26/E4)</f>
        <v>1801.8</v>
      </c>
      <c r="G26" s="33">
        <f>G4*(F26/F4)</f>
        <v>2072.0699999999997</v>
      </c>
      <c r="H26" s="33">
        <f>H4*(G26/G4)</f>
        <v>2320.7183999999997</v>
      </c>
    </row>
    <row r="27" spans="2:8">
      <c r="B27" s="4" t="s">
        <v>169</v>
      </c>
      <c r="C27" s="33">
        <f>'Historical Data'!E53</f>
        <v>666</v>
      </c>
      <c r="D27" s="33">
        <f>D93</f>
        <v>1346.1024962328772</v>
      </c>
      <c r="E27" s="33">
        <f t="shared" ref="E27:F27" si="8">E93</f>
        <v>2669.3145727739684</v>
      </c>
      <c r="F27" s="33">
        <f t="shared" si="8"/>
        <v>5352.6342023972575</v>
      </c>
      <c r="G27" s="33">
        <f t="shared" ref="G27:H27" si="9">G93</f>
        <v>9258.00656216895</v>
      </c>
      <c r="H27" s="33">
        <f t="shared" si="9"/>
        <v>14683.706090820089</v>
      </c>
    </row>
    <row r="28" spans="2:8" ht="15">
      <c r="B28" s="39" t="s">
        <v>170</v>
      </c>
      <c r="C28" s="19">
        <f t="shared" ref="C28:H28" si="10">SUM(C21:C27)</f>
        <v>11701</v>
      </c>
      <c r="D28" s="19">
        <f t="shared" si="10"/>
        <v>13281.807898972604</v>
      </c>
      <c r="E28" s="19">
        <f t="shared" si="10"/>
        <v>15501.573380993146</v>
      </c>
      <c r="F28" s="19">
        <f t="shared" si="10"/>
        <v>19045.397238013695</v>
      </c>
      <c r="G28" s="19">
        <f t="shared" si="10"/>
        <v>23681.964388744294</v>
      </c>
      <c r="H28" s="19">
        <f t="shared" si="10"/>
        <v>29740.564832474884</v>
      </c>
    </row>
    <row r="29" spans="2:8">
      <c r="B29" s="4" t="s">
        <v>171</v>
      </c>
      <c r="C29" s="33">
        <f>'Historical Data'!E38</f>
        <v>965</v>
      </c>
      <c r="D29" s="33">
        <f>C29-D80-(D69+Assumptions!C23)</f>
        <v>1571.3179999999998</v>
      </c>
      <c r="E29" s="33">
        <f>D29-E80-(E69+Assumptions!D23)</f>
        <v>2354.2154999999993</v>
      </c>
      <c r="F29" s="33">
        <f>E29-F80-(F69+Assumptions!E23)</f>
        <v>2848.9539999999997</v>
      </c>
      <c r="G29" s="33">
        <f>F29-G80-(G69+Assumptions!F23)</f>
        <v>3424.5699416666675</v>
      </c>
      <c r="H29" s="33">
        <f>G29-H80-(H69+Assumptions!G23)</f>
        <v>3546.2366083333345</v>
      </c>
    </row>
    <row r="30" spans="2:8">
      <c r="B30" s="4" t="s">
        <v>172</v>
      </c>
      <c r="C30" s="33">
        <f>'Historical Data'!E39</f>
        <v>51</v>
      </c>
      <c r="D30" s="33">
        <v>51</v>
      </c>
      <c r="E30" s="33">
        <v>51</v>
      </c>
      <c r="F30" s="33">
        <v>51</v>
      </c>
      <c r="G30" s="33">
        <v>51</v>
      </c>
      <c r="H30" s="33">
        <v>51</v>
      </c>
    </row>
    <row r="31" spans="2:8">
      <c r="B31" s="4" t="s">
        <v>173</v>
      </c>
      <c r="C31" s="33">
        <f>'Historical Data'!E40</f>
        <v>1918</v>
      </c>
      <c r="D31" s="33">
        <f>Assumptions!C24</f>
        <v>2078</v>
      </c>
      <c r="E31" s="33">
        <f>Assumptions!D24</f>
        <v>2253</v>
      </c>
      <c r="F31" s="33">
        <f>Assumptions!E24</f>
        <v>2403</v>
      </c>
      <c r="G31" s="33">
        <f>Assumptions!F24</f>
        <v>2554.6666666666661</v>
      </c>
      <c r="H31" s="33">
        <f>Assumptions!G24</f>
        <v>2706.3333333333321</v>
      </c>
    </row>
    <row r="32" spans="2:8">
      <c r="B32" s="4" t="s">
        <v>37</v>
      </c>
      <c r="C32" s="33">
        <f>'Historical Data'!E41</f>
        <v>5737</v>
      </c>
      <c r="D32" s="33">
        <v>5737</v>
      </c>
      <c r="E32" s="33">
        <v>5737</v>
      </c>
      <c r="F32" s="33">
        <v>5737</v>
      </c>
      <c r="G32" s="33">
        <v>5737</v>
      </c>
      <c r="H32" s="33">
        <v>5737</v>
      </c>
    </row>
    <row r="33" spans="2:8">
      <c r="B33" s="4" t="s">
        <v>174</v>
      </c>
      <c r="C33" s="33">
        <f>'Historical Data'!E42</f>
        <v>912</v>
      </c>
      <c r="D33" s="33">
        <v>912</v>
      </c>
      <c r="E33" s="33">
        <v>912</v>
      </c>
      <c r="F33" s="33">
        <v>912</v>
      </c>
      <c r="G33" s="33">
        <v>912</v>
      </c>
      <c r="H33" s="33">
        <v>912</v>
      </c>
    </row>
    <row r="34" spans="2:8">
      <c r="B34" s="4" t="s">
        <v>175</v>
      </c>
      <c r="C34" s="33">
        <f>'Historical Data'!E43</f>
        <v>10920</v>
      </c>
      <c r="D34" s="33">
        <v>10920</v>
      </c>
      <c r="E34" s="33">
        <v>10920</v>
      </c>
      <c r="F34" s="33">
        <v>10920</v>
      </c>
      <c r="G34" s="33">
        <v>10920</v>
      </c>
      <c r="H34" s="33">
        <v>10920</v>
      </c>
    </row>
    <row r="35" spans="2:8">
      <c r="B35" s="4" t="s">
        <v>168</v>
      </c>
      <c r="C35" s="33">
        <f>'Historical Data'!E44</f>
        <v>2744</v>
      </c>
      <c r="D35" s="33">
        <v>2744</v>
      </c>
      <c r="E35" s="33">
        <v>2744</v>
      </c>
      <c r="F35" s="33">
        <v>2744</v>
      </c>
      <c r="G35" s="33">
        <v>2744</v>
      </c>
      <c r="H35" s="33">
        <v>2744</v>
      </c>
    </row>
    <row r="36" spans="2:8">
      <c r="B36" s="4" t="s">
        <v>176</v>
      </c>
      <c r="C36" s="33">
        <f>'Historical Data'!E45</f>
        <v>129</v>
      </c>
      <c r="D36" s="33">
        <v>129</v>
      </c>
      <c r="E36" s="33">
        <v>129</v>
      </c>
      <c r="F36" s="33">
        <v>129</v>
      </c>
      <c r="G36" s="33">
        <v>129</v>
      </c>
      <c r="H36" s="33">
        <v>129</v>
      </c>
    </row>
    <row r="37" spans="2:8">
      <c r="B37" s="4" t="s">
        <v>177</v>
      </c>
      <c r="C37" s="33">
        <f>'Historical Data'!E46</f>
        <v>546</v>
      </c>
      <c r="D37" s="33">
        <v>546</v>
      </c>
      <c r="E37" s="33">
        <v>546</v>
      </c>
      <c r="F37" s="33">
        <v>546</v>
      </c>
      <c r="G37" s="33">
        <v>546</v>
      </c>
      <c r="H37" s="33">
        <v>546</v>
      </c>
    </row>
    <row r="38" spans="2:8" ht="15">
      <c r="B38" s="39" t="s">
        <v>178</v>
      </c>
      <c r="C38" s="19">
        <f>SUM(C29:C37)</f>
        <v>23922</v>
      </c>
      <c r="D38" s="19">
        <f>SUM(D29:D37)</f>
        <v>24688.317999999999</v>
      </c>
      <c r="E38" s="19">
        <f t="shared" ref="E38:F38" si="11">SUM(E29:E37)</f>
        <v>25646.215499999998</v>
      </c>
      <c r="F38" s="19">
        <f t="shared" si="11"/>
        <v>26290.953999999998</v>
      </c>
      <c r="G38" s="19">
        <f t="shared" ref="G38:H38" si="12">SUM(G29:G37)</f>
        <v>27018.236608333333</v>
      </c>
      <c r="H38" s="19">
        <f t="shared" si="12"/>
        <v>27291.569941666668</v>
      </c>
    </row>
    <row r="39" spans="2:8">
      <c r="B39" s="4"/>
    </row>
    <row r="40" spans="2:8" ht="15">
      <c r="B40" s="39" t="s">
        <v>54</v>
      </c>
      <c r="C40" s="32">
        <f>C28+C38</f>
        <v>35623</v>
      </c>
      <c r="D40" s="32">
        <f>D28+D38</f>
        <v>37970.125898972605</v>
      </c>
      <c r="E40" s="32">
        <f t="shared" ref="E40:H40" si="13">E28+E38</f>
        <v>41147.788880993146</v>
      </c>
      <c r="F40" s="32">
        <f t="shared" si="13"/>
        <v>45336.351238013696</v>
      </c>
      <c r="G40" s="32">
        <f t="shared" si="13"/>
        <v>50700.200997077627</v>
      </c>
      <c r="H40" s="32">
        <f t="shared" si="13"/>
        <v>57032.134774141552</v>
      </c>
    </row>
    <row r="42" spans="2:8" ht="15">
      <c r="C42" s="35"/>
      <c r="D42" s="35"/>
      <c r="E42" s="35"/>
      <c r="F42" s="35"/>
    </row>
    <row r="43" spans="2:8" ht="15">
      <c r="B43" s="80" t="s">
        <v>179</v>
      </c>
      <c r="C43" s="79"/>
      <c r="D43" s="79"/>
      <c r="E43" s="79"/>
      <c r="F43" s="79"/>
      <c r="G43" s="79"/>
      <c r="H43" s="79"/>
    </row>
    <row r="44" spans="2:8">
      <c r="B44" s="77" t="s">
        <v>56</v>
      </c>
      <c r="C44">
        <f>'Historical Data'!E63</f>
        <v>907</v>
      </c>
      <c r="D44">
        <v>907</v>
      </c>
      <c r="E44">
        <v>907</v>
      </c>
      <c r="F44">
        <v>907</v>
      </c>
      <c r="G44">
        <v>907</v>
      </c>
      <c r="H44">
        <v>907</v>
      </c>
    </row>
    <row r="45" spans="2:8">
      <c r="B45" s="77" t="s">
        <v>57</v>
      </c>
      <c r="C45" s="33">
        <f>'Historical Data'!E64</f>
        <v>29410</v>
      </c>
      <c r="D45" s="33">
        <f>C45+D15+Assumptions!C15</f>
        <v>31079.709625</v>
      </c>
      <c r="E45" s="33">
        <f>D45+E15+Assumptions!D15</f>
        <v>33531.721812499993</v>
      </c>
      <c r="F45" s="33">
        <f>E45+F15+Assumptions!E15</f>
        <v>37019.63337499999</v>
      </c>
      <c r="G45" s="33">
        <f>F45+G15+Assumptions!F15</f>
        <v>41760.455799999996</v>
      </c>
      <c r="H45" s="33">
        <f>G45+H15+Assumptions!G15</f>
        <v>47568.360466999991</v>
      </c>
    </row>
    <row r="46" spans="2:8">
      <c r="B46" s="39" t="s">
        <v>59</v>
      </c>
      <c r="C46" s="19">
        <f>SUM(C44:C45)</f>
        <v>30317</v>
      </c>
      <c r="D46" s="19">
        <f>SUM(D44:D45)</f>
        <v>31986.709625</v>
      </c>
      <c r="E46" s="19">
        <f t="shared" ref="E46:F46" si="14">SUM(E44:E45)</f>
        <v>34438.721812499993</v>
      </c>
      <c r="F46" s="19">
        <f t="shared" si="14"/>
        <v>37926.63337499999</v>
      </c>
      <c r="G46" s="19">
        <f t="shared" ref="G46:H46" si="15">SUM(G44:G45)</f>
        <v>42667.455799999996</v>
      </c>
      <c r="H46" s="19">
        <f t="shared" si="15"/>
        <v>48475.360466999991</v>
      </c>
    </row>
    <row r="47" spans="2:8" ht="15">
      <c r="B47" s="47" t="s">
        <v>180</v>
      </c>
      <c r="C47" s="30">
        <f>'Historical Data'!E65</f>
        <v>-7</v>
      </c>
      <c r="D47" s="30">
        <v>-7</v>
      </c>
      <c r="E47" s="30">
        <v>-7</v>
      </c>
      <c r="F47" s="30">
        <v>-7</v>
      </c>
      <c r="G47" s="30">
        <v>-7</v>
      </c>
      <c r="H47" s="30">
        <v>-7</v>
      </c>
    </row>
    <row r="48" spans="2:8">
      <c r="D48" s="33"/>
      <c r="E48" s="33"/>
      <c r="F48" s="33"/>
      <c r="G48" s="33"/>
      <c r="H48" s="33"/>
    </row>
    <row r="49" spans="1:8" ht="16.5" customHeight="1">
      <c r="B49" s="4" t="s">
        <v>63</v>
      </c>
      <c r="C49" s="33">
        <f>'Historical Data'!E70</f>
        <v>1654</v>
      </c>
      <c r="D49" s="50">
        <f>(C49+C55+Assumptions!C22+Assumptions!C23)*0.8</f>
        <v>1764</v>
      </c>
      <c r="E49" s="50">
        <f>(D49+D55+Assumptions!D22+Assumptions!D23)*0.8</f>
        <v>1904</v>
      </c>
      <c r="F49" s="50">
        <f>(E49+E55+Assumptions!E22+Assumptions!E23)*0.8</f>
        <v>2024</v>
      </c>
      <c r="G49" s="50">
        <f>(F49+F55+Assumptions!F22+Assumptions!F23)*0.8</f>
        <v>2145.333333333333</v>
      </c>
      <c r="H49" s="50">
        <f>(G49+G55+Assumptions!G22+Assumptions!G23)*0.8</f>
        <v>2266.6666666666656</v>
      </c>
    </row>
    <row r="50" spans="1:8">
      <c r="B50" s="4" t="s">
        <v>181</v>
      </c>
      <c r="C50" s="33">
        <f>'Historical Data'!E72</f>
        <v>120</v>
      </c>
      <c r="D50" s="33">
        <v>120</v>
      </c>
      <c r="E50" s="33">
        <v>120</v>
      </c>
      <c r="F50" s="33">
        <v>120</v>
      </c>
      <c r="G50" s="33">
        <v>120</v>
      </c>
      <c r="H50" s="33">
        <v>120</v>
      </c>
    </row>
    <row r="51" spans="1:8">
      <c r="B51" s="4" t="s">
        <v>182</v>
      </c>
      <c r="C51" s="33">
        <f>'Historical Data'!E73</f>
        <v>212</v>
      </c>
      <c r="D51" s="33">
        <v>212</v>
      </c>
      <c r="E51" s="33">
        <v>212</v>
      </c>
      <c r="F51" s="33">
        <v>212</v>
      </c>
      <c r="G51" s="33">
        <v>212</v>
      </c>
      <c r="H51" s="33">
        <v>212</v>
      </c>
    </row>
    <row r="52" spans="1:8">
      <c r="A52" s="8"/>
      <c r="B52" s="4" t="s">
        <v>183</v>
      </c>
      <c r="C52" s="33">
        <f>'Historical Data'!E71</f>
        <v>1</v>
      </c>
      <c r="D52" s="33">
        <v>1</v>
      </c>
      <c r="E52" s="33">
        <v>1</v>
      </c>
      <c r="F52" s="33">
        <v>1</v>
      </c>
      <c r="G52" s="33">
        <v>1</v>
      </c>
      <c r="H52" s="33">
        <v>1</v>
      </c>
    </row>
    <row r="53" spans="1:8">
      <c r="B53" s="39" t="s">
        <v>184</v>
      </c>
      <c r="C53" s="19">
        <f>SUM(C49:C52)</f>
        <v>1987</v>
      </c>
      <c r="D53" s="19">
        <f t="shared" ref="D53:F53" si="16">SUM(D49:D52)</f>
        <v>2097</v>
      </c>
      <c r="E53" s="19">
        <f t="shared" si="16"/>
        <v>2237</v>
      </c>
      <c r="F53" s="19">
        <f t="shared" si="16"/>
        <v>2357</v>
      </c>
      <c r="G53" s="19">
        <f t="shared" ref="G53:H53" si="17">SUM(G49:G52)</f>
        <v>2478.333333333333</v>
      </c>
      <c r="H53" s="19">
        <f t="shared" si="17"/>
        <v>2599.6666666666656</v>
      </c>
    </row>
    <row r="54" spans="1:8">
      <c r="B54" s="4"/>
    </row>
    <row r="55" spans="1:8" ht="15">
      <c r="B55" s="77" t="s">
        <v>70</v>
      </c>
      <c r="C55" s="50">
        <f>'Historical Data'!E78</f>
        <v>391</v>
      </c>
      <c r="D55" s="50">
        <f>(C49+C55+Assumptions!C22+Assumptions!C23)*0.2</f>
        <v>441</v>
      </c>
      <c r="E55" s="50">
        <f>(D49+D55+Assumptions!D22+Assumptions!D23)*0.2</f>
        <v>476</v>
      </c>
      <c r="F55" s="50">
        <f>(E49+E55+Assumptions!E22+Assumptions!E23)*0.2</f>
        <v>506</v>
      </c>
      <c r="G55" s="50">
        <f>(F49+F55+Assumptions!F22+Assumptions!F23)*0.2</f>
        <v>536.33333333333326</v>
      </c>
      <c r="H55" s="50">
        <f>(G49+G55+Assumptions!G22+Assumptions!G23)*0.2</f>
        <v>566.6666666666664</v>
      </c>
    </row>
    <row r="56" spans="1:8" ht="15">
      <c r="B56" s="77" t="s">
        <v>183</v>
      </c>
      <c r="C56" s="50">
        <f>'Historical Data'!E80</f>
        <v>913</v>
      </c>
      <c r="D56" s="50">
        <v>913</v>
      </c>
      <c r="E56" s="50">
        <v>913</v>
      </c>
      <c r="F56" s="50">
        <v>913</v>
      </c>
      <c r="G56" s="50">
        <v>913</v>
      </c>
      <c r="H56" s="50">
        <v>913</v>
      </c>
    </row>
    <row r="57" spans="1:8" ht="15">
      <c r="B57" s="77" t="s">
        <v>73</v>
      </c>
      <c r="C57" s="50">
        <f>'Historical Data'!E81</f>
        <v>452</v>
      </c>
      <c r="D57" s="50">
        <f>D4*Assumptions!C16</f>
        <v>587.6</v>
      </c>
      <c r="E57" s="50">
        <f>E4*Assumptions!D16</f>
        <v>734.5</v>
      </c>
      <c r="F57" s="50">
        <f>F4*Assumptions!E16</f>
        <v>881.4</v>
      </c>
      <c r="G57" s="50">
        <f>G4*Assumptions!F16</f>
        <v>1013.6099999999999</v>
      </c>
      <c r="H57" s="50">
        <f>H4*Assumptions!G16</f>
        <v>1135.2431999999999</v>
      </c>
    </row>
    <row r="58" spans="1:8" ht="15">
      <c r="B58" s="77" t="s">
        <v>71</v>
      </c>
      <c r="C58" s="50">
        <f>'Historical Data'!E79</f>
        <v>1536</v>
      </c>
      <c r="D58" s="50">
        <f>D7*Assumptions!C12/365</f>
        <v>1917.8162739726029</v>
      </c>
      <c r="E58" s="50">
        <f>E7*Assumptions!D12/365</f>
        <v>2321.5670684931511</v>
      </c>
      <c r="F58" s="50">
        <f>F7*Assumptions!E12/365</f>
        <v>2725.3178630136986</v>
      </c>
      <c r="G58" s="50">
        <f>G7*Assumptions!F12/365</f>
        <v>3064.4685304109589</v>
      </c>
      <c r="H58" s="50">
        <f>H7*Assumptions!G12/365</f>
        <v>3315.1977738082201</v>
      </c>
    </row>
    <row r="59" spans="1:8" ht="15">
      <c r="B59" s="77" t="s">
        <v>185</v>
      </c>
      <c r="C59" s="50">
        <f>'Historical Data'!E82</f>
        <v>34</v>
      </c>
      <c r="D59" s="50">
        <v>34</v>
      </c>
      <c r="E59" s="50">
        <v>34</v>
      </c>
      <c r="F59" s="50">
        <v>34</v>
      </c>
      <c r="G59" s="50">
        <v>34</v>
      </c>
      <c r="H59" s="50">
        <v>34</v>
      </c>
    </row>
    <row r="60" spans="1:8">
      <c r="B60" s="39" t="s">
        <v>186</v>
      </c>
      <c r="C60" s="19">
        <f t="shared" ref="C60:H60" si="18">SUM(C55:C59)</f>
        <v>3326</v>
      </c>
      <c r="D60" s="19">
        <f t="shared" si="18"/>
        <v>3893.4162739726025</v>
      </c>
      <c r="E60" s="19">
        <f t="shared" si="18"/>
        <v>4479.0670684931511</v>
      </c>
      <c r="F60" s="19">
        <f t="shared" si="18"/>
        <v>5059.7178630136987</v>
      </c>
      <c r="G60" s="19">
        <f t="shared" si="18"/>
        <v>5561.4118637442916</v>
      </c>
      <c r="H60" s="19">
        <f t="shared" si="18"/>
        <v>5964.1076404748865</v>
      </c>
    </row>
    <row r="61" spans="1:8">
      <c r="B61" s="4"/>
    </row>
    <row r="62" spans="1:8">
      <c r="B62" s="3" t="s">
        <v>187</v>
      </c>
      <c r="C62" s="38">
        <f t="shared" ref="C62:H62" si="19">C46+C47+C53+C60</f>
        <v>35623</v>
      </c>
      <c r="D62" s="38">
        <f t="shared" si="19"/>
        <v>37970.125898972605</v>
      </c>
      <c r="E62" s="38">
        <f t="shared" si="19"/>
        <v>41147.788880993146</v>
      </c>
      <c r="F62" s="38">
        <f t="shared" si="19"/>
        <v>45336.351238013689</v>
      </c>
      <c r="G62" s="38">
        <f t="shared" si="19"/>
        <v>50700.200997077627</v>
      </c>
      <c r="H62" s="38">
        <f t="shared" si="19"/>
        <v>57032.134774141545</v>
      </c>
    </row>
    <row r="63" spans="1:8" ht="15"/>
    <row r="64" spans="1:8">
      <c r="C64" s="17"/>
    </row>
    <row r="65" spans="2:8" ht="15">
      <c r="B65" s="53" t="s">
        <v>188</v>
      </c>
      <c r="C65" s="57" t="s">
        <v>157</v>
      </c>
      <c r="D65" s="57" t="s">
        <v>147</v>
      </c>
      <c r="E65" s="57" t="s">
        <v>148</v>
      </c>
      <c r="F65" s="57" t="s">
        <v>149</v>
      </c>
      <c r="G65" s="57" t="s">
        <v>150</v>
      </c>
      <c r="H65" s="57" t="s">
        <v>151</v>
      </c>
    </row>
    <row r="66" spans="2:8">
      <c r="B66" s="2" t="s">
        <v>189</v>
      </c>
    </row>
    <row r="67" spans="2:8" ht="15">
      <c r="B67" s="77" t="s">
        <v>28</v>
      </c>
      <c r="C67" s="12">
        <f>C15</f>
        <v>0</v>
      </c>
      <c r="D67" s="50">
        <f>D15</f>
        <v>871.70962500000041</v>
      </c>
      <c r="E67" s="50">
        <f t="shared" ref="E67:F67" si="20">E15</f>
        <v>1602.012187499995</v>
      </c>
      <c r="F67" s="50">
        <f t="shared" si="20"/>
        <v>2587.9115625000013</v>
      </c>
      <c r="G67" s="50">
        <f t="shared" ref="G67:H67" si="21">G15</f>
        <v>3790.8224250000021</v>
      </c>
      <c r="H67" s="50">
        <f t="shared" si="21"/>
        <v>4807.9046669999971</v>
      </c>
    </row>
    <row r="68" spans="2:8" ht="15">
      <c r="B68" s="77" t="s">
        <v>190</v>
      </c>
      <c r="C68" s="12"/>
      <c r="D68" s="17">
        <f>-D5</f>
        <v>-1184.7</v>
      </c>
      <c r="E68" s="17">
        <f t="shared" ref="E68:H68" si="22">-E5</f>
        <v>-1303.17</v>
      </c>
      <c r="F68" s="17">
        <f t="shared" si="22"/>
        <v>-1433.4870000000003</v>
      </c>
      <c r="G68" s="17">
        <f t="shared" si="22"/>
        <v>-1576.8357000000005</v>
      </c>
      <c r="H68" s="17">
        <f t="shared" si="22"/>
        <v>-1734.5192700000007</v>
      </c>
    </row>
    <row r="69" spans="2:8" ht="15">
      <c r="B69" s="77" t="s">
        <v>162</v>
      </c>
      <c r="C69" s="12"/>
      <c r="D69" s="50">
        <f>D9</f>
        <v>1052.636</v>
      </c>
      <c r="E69" s="50">
        <f t="shared" ref="E69:F69" si="23">E9</f>
        <v>1315.7950000000001</v>
      </c>
      <c r="F69" s="50">
        <f t="shared" si="23"/>
        <v>1578.954</v>
      </c>
      <c r="G69" s="50">
        <f t="shared" ref="G69:H69" si="24">G9</f>
        <v>1815.7971</v>
      </c>
      <c r="H69" s="50">
        <f t="shared" si="24"/>
        <v>2033.6927520000002</v>
      </c>
    </row>
    <row r="70" spans="2:8" ht="15">
      <c r="B70" s="77" t="s">
        <v>191</v>
      </c>
      <c r="D70" s="17">
        <f>-(D21-C21)</f>
        <v>-577.44246575342459</v>
      </c>
      <c r="E70" s="17">
        <f t="shared" ref="E70:F70" si="25">-(E21-D21)</f>
        <v>-540.73767123287689</v>
      </c>
      <c r="F70" s="17">
        <f t="shared" si="25"/>
        <v>-504.68849315068474</v>
      </c>
      <c r="G70" s="17">
        <f t="shared" ref="G70:G71" si="26">-(G21-F21)</f>
        <v>-410.96063013698631</v>
      </c>
      <c r="H70" s="17">
        <f t="shared" ref="H70:H71" si="27">-(H21-G21)</f>
        <v>-338.28548712328802</v>
      </c>
    </row>
    <row r="71" spans="2:8" ht="15">
      <c r="B71" s="77" t="s">
        <v>192</v>
      </c>
      <c r="D71" s="17">
        <f>-(D22-C22)</f>
        <v>-46.062936986301395</v>
      </c>
      <c r="E71" s="17">
        <f t="shared" ref="E71:F71" si="28">-(E22-D22)</f>
        <v>-55.515734246575335</v>
      </c>
      <c r="F71" s="17">
        <f t="shared" si="28"/>
        <v>-55.515734246575335</v>
      </c>
      <c r="G71" s="17">
        <f t="shared" si="26"/>
        <v>-49.964160821917801</v>
      </c>
      <c r="H71" s="17">
        <f t="shared" si="27"/>
        <v>-45.967027956164486</v>
      </c>
    </row>
    <row r="72" spans="2:8" ht="15">
      <c r="B72" s="77" t="s">
        <v>193</v>
      </c>
      <c r="D72" s="17">
        <f>D58-C58</f>
        <v>381.81627397260286</v>
      </c>
      <c r="E72" s="17">
        <f t="shared" ref="E72:F72" si="29">E58-D58</f>
        <v>403.7507945205482</v>
      </c>
      <c r="F72" s="17">
        <f t="shared" si="29"/>
        <v>403.75079452054752</v>
      </c>
      <c r="G72" s="17">
        <f t="shared" ref="G72" si="30">G58-F58</f>
        <v>339.15066739726035</v>
      </c>
      <c r="H72" s="17">
        <f t="shared" ref="H72" si="31">H58-G58</f>
        <v>250.72924339726114</v>
      </c>
    </row>
    <row r="73" spans="2:8" ht="15">
      <c r="B73" s="77" t="s">
        <v>194</v>
      </c>
      <c r="D73" s="17">
        <f>-(D26-C26)</f>
        <v>-277.20000000000005</v>
      </c>
      <c r="E73" s="17">
        <f t="shared" ref="E73:F73" si="32">-(E26-D26)</f>
        <v>-300.29999999999995</v>
      </c>
      <c r="F73" s="17">
        <f t="shared" si="32"/>
        <v>-300.29999999999995</v>
      </c>
      <c r="G73" s="17">
        <f t="shared" ref="G73" si="33">-(G26-F26)</f>
        <v>-270.26999999999975</v>
      </c>
      <c r="H73" s="17">
        <f t="shared" ref="H73" si="34">-(H26-G26)</f>
        <v>-248.64840000000004</v>
      </c>
    </row>
    <row r="74" spans="2:8" ht="15">
      <c r="B74" s="77" t="s">
        <v>195</v>
      </c>
      <c r="D74" s="17">
        <f>D57-C57</f>
        <v>135.60000000000002</v>
      </c>
      <c r="E74" s="17">
        <f t="shared" ref="E74:F74" si="35">E57-D57</f>
        <v>146.89999999999998</v>
      </c>
      <c r="F74" s="17">
        <f t="shared" si="35"/>
        <v>146.89999999999998</v>
      </c>
      <c r="G74" s="17">
        <f t="shared" ref="G74" si="36">G57-F57</f>
        <v>132.20999999999992</v>
      </c>
      <c r="H74" s="17">
        <f t="shared" ref="H74" si="37">H57-G57</f>
        <v>121.63319999999999</v>
      </c>
    </row>
    <row r="75" spans="2:8" ht="15">
      <c r="B75" s="77" t="s">
        <v>196</v>
      </c>
      <c r="D75" s="17">
        <f>Assumptions!C15</f>
        <v>798</v>
      </c>
      <c r="E75" s="17">
        <f>Assumptions!D15</f>
        <v>850</v>
      </c>
      <c r="F75" s="17">
        <f>Assumptions!E15</f>
        <v>900</v>
      </c>
      <c r="G75" s="17">
        <f>Assumptions!F15</f>
        <v>950</v>
      </c>
      <c r="H75" s="17">
        <f>Assumptions!G15</f>
        <v>1000</v>
      </c>
    </row>
    <row r="76" spans="2:8" ht="15">
      <c r="B76" s="77" t="s">
        <v>197</v>
      </c>
      <c r="D76" s="17">
        <f>D10</f>
        <v>154</v>
      </c>
      <c r="E76" s="17">
        <f t="shared" ref="E76:F76" si="38">E10</f>
        <v>154</v>
      </c>
      <c r="F76" s="17">
        <f t="shared" si="38"/>
        <v>154</v>
      </c>
      <c r="G76" s="17">
        <f t="shared" ref="G76:H76" si="39">G10</f>
        <v>154</v>
      </c>
      <c r="H76" s="17">
        <f t="shared" si="39"/>
        <v>154</v>
      </c>
    </row>
    <row r="77" spans="2:8">
      <c r="B77" s="18" t="s">
        <v>115</v>
      </c>
      <c r="C77" s="20"/>
      <c r="D77" s="32">
        <f>SUM(D67:D76)</f>
        <v>1308.3564962328771</v>
      </c>
      <c r="E77" s="32">
        <f>SUM(E67:E76)</f>
        <v>2272.734576541091</v>
      </c>
      <c r="F77" s="32">
        <f>SUM(F67:F76)</f>
        <v>3477.5251296232886</v>
      </c>
      <c r="G77" s="32">
        <f>SUM(G67:G76)</f>
        <v>4873.9497014383578</v>
      </c>
      <c r="H77" s="32">
        <f>SUM(H67:H76)</f>
        <v>6000.5396773178054</v>
      </c>
    </row>
    <row r="78" spans="2:8">
      <c r="B78" s="48"/>
      <c r="D78" s="38"/>
      <c r="E78" s="38"/>
      <c r="F78" s="38"/>
      <c r="G78" s="38"/>
      <c r="H78" s="38"/>
    </row>
    <row r="79" spans="2:8">
      <c r="B79" s="2" t="s">
        <v>198</v>
      </c>
      <c r="D79" s="17"/>
      <c r="E79" s="17"/>
      <c r="F79" s="17"/>
      <c r="G79" s="17"/>
      <c r="H79" s="17"/>
    </row>
    <row r="80" spans="2:8">
      <c r="B80" s="77" t="s">
        <v>199</v>
      </c>
      <c r="D80" s="17">
        <f>-(D4*Assumptions!C13)</f>
        <v>-1578.954</v>
      </c>
      <c r="E80" s="17">
        <f>-(E4*Assumptions!D13)</f>
        <v>-1973.6924999999999</v>
      </c>
      <c r="F80" s="17">
        <f>-(F4*Assumptions!E13)</f>
        <v>-1973.6925000000001</v>
      </c>
      <c r="G80" s="17">
        <f>-(G4*Assumptions!F13)</f>
        <v>-2269.7463750000002</v>
      </c>
      <c r="H80" s="17">
        <f>-(H4*Assumptions!G13)</f>
        <v>-2033.6927520000002</v>
      </c>
    </row>
    <row r="81" spans="2:11">
      <c r="B81" s="77" t="s">
        <v>200</v>
      </c>
      <c r="D81" s="17">
        <f>D5</f>
        <v>1184.7</v>
      </c>
      <c r="E81" s="17">
        <f t="shared" ref="E81:H81" si="40">E5</f>
        <v>1303.17</v>
      </c>
      <c r="F81" s="17">
        <f t="shared" si="40"/>
        <v>1433.4870000000003</v>
      </c>
      <c r="G81" s="17">
        <f t="shared" si="40"/>
        <v>1576.8357000000005</v>
      </c>
      <c r="H81" s="17">
        <f t="shared" si="40"/>
        <v>1734.5192700000007</v>
      </c>
      <c r="K81" s="81"/>
    </row>
    <row r="82" spans="2:11">
      <c r="B82" s="77" t="s">
        <v>201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</row>
    <row r="83" spans="2:11">
      <c r="B83" s="18" t="s">
        <v>116</v>
      </c>
      <c r="C83" s="20"/>
      <c r="D83" s="32">
        <f>D80+D81+D82</f>
        <v>-394.25399999999991</v>
      </c>
      <c r="E83" s="32">
        <f t="shared" ref="E83:F83" si="41">E80+E81+E82</f>
        <v>-670.52249999999981</v>
      </c>
      <c r="F83" s="32">
        <f t="shared" si="41"/>
        <v>-540.2054999999998</v>
      </c>
      <c r="G83" s="32">
        <f t="shared" ref="G83:H83" si="42">G80+G81+G82</f>
        <v>-692.91067499999963</v>
      </c>
      <c r="H83" s="32">
        <f t="shared" si="42"/>
        <v>-299.17348199999947</v>
      </c>
    </row>
    <row r="84" spans="2:11">
      <c r="B84" s="48"/>
      <c r="D84" s="17"/>
      <c r="E84" s="17"/>
      <c r="F84" s="17"/>
      <c r="G84" s="17"/>
      <c r="H84" s="17"/>
    </row>
    <row r="85" spans="2:11">
      <c r="B85" s="2" t="s">
        <v>202</v>
      </c>
      <c r="D85" s="17"/>
      <c r="E85" s="17"/>
      <c r="F85" s="17"/>
      <c r="G85" s="17"/>
      <c r="H85" s="17"/>
    </row>
    <row r="86" spans="2:11">
      <c r="B86" s="4" t="s">
        <v>203</v>
      </c>
      <c r="D86" s="17">
        <f>-D10</f>
        <v>-154</v>
      </c>
      <c r="E86" s="17">
        <f t="shared" ref="E86:F86" si="43">-E10</f>
        <v>-154</v>
      </c>
      <c r="F86" s="17">
        <f t="shared" si="43"/>
        <v>-154</v>
      </c>
      <c r="G86" s="17">
        <f t="shared" ref="G86:H86" si="44">-G10</f>
        <v>-154</v>
      </c>
      <c r="H86" s="17">
        <f t="shared" si="44"/>
        <v>-154</v>
      </c>
    </row>
    <row r="87" spans="2:11">
      <c r="B87" s="4" t="s">
        <v>204</v>
      </c>
      <c r="D87" s="17">
        <f>Assumptions!C23</f>
        <v>-80</v>
      </c>
      <c r="E87" s="17">
        <f>Assumptions!D23</f>
        <v>-125</v>
      </c>
      <c r="F87" s="17">
        <f>Assumptions!E23</f>
        <v>-100</v>
      </c>
      <c r="G87" s="17">
        <f>Assumptions!F23</f>
        <v>-121.666666666667</v>
      </c>
      <c r="H87" s="17">
        <f>Assumptions!G23</f>
        <v>-121.666666666667</v>
      </c>
    </row>
    <row r="88" spans="2:11">
      <c r="B88" s="4" t="s">
        <v>205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</row>
    <row r="89" spans="2:11">
      <c r="B89" s="18" t="s">
        <v>117</v>
      </c>
      <c r="C89" s="20"/>
      <c r="D89" s="65">
        <f>SUM(D86:D88)</f>
        <v>-234</v>
      </c>
      <c r="E89" s="65">
        <f t="shared" ref="E89:F89" si="45">SUM(E86:E88)</f>
        <v>-279</v>
      </c>
      <c r="F89" s="65">
        <f t="shared" si="45"/>
        <v>-254</v>
      </c>
      <c r="G89" s="65">
        <f t="shared" ref="G89:H89" si="46">SUM(G86:G88)</f>
        <v>-275.66666666666697</v>
      </c>
      <c r="H89" s="65">
        <f t="shared" si="46"/>
        <v>-275.66666666666697</v>
      </c>
    </row>
    <row r="90" spans="2:11">
      <c r="B90" s="1"/>
      <c r="D90" s="17"/>
      <c r="E90" s="17"/>
      <c r="F90" s="17"/>
      <c r="G90" s="17"/>
      <c r="H90" s="17"/>
    </row>
    <row r="91" spans="2:11">
      <c r="B91" s="2" t="s">
        <v>118</v>
      </c>
      <c r="D91" s="17">
        <f>D77+D83+D89</f>
        <v>680.10249623287723</v>
      </c>
      <c r="E91" s="17">
        <f t="shared" ref="E91:F91" si="47">E77+E83+E89</f>
        <v>1323.2120765410912</v>
      </c>
      <c r="F91" s="17">
        <f t="shared" si="47"/>
        <v>2683.3196296232891</v>
      </c>
      <c r="G91" s="17">
        <f t="shared" ref="G91:H91" si="48">G77+G83+G89</f>
        <v>3905.3723597716917</v>
      </c>
      <c r="H91" s="17">
        <f t="shared" si="48"/>
        <v>5425.6995286511392</v>
      </c>
    </row>
    <row r="92" spans="2:11">
      <c r="B92" s="4" t="s">
        <v>206</v>
      </c>
      <c r="D92" s="17">
        <f>'Historical Data'!E53</f>
        <v>666</v>
      </c>
      <c r="E92" s="17">
        <f>D93</f>
        <v>1346.1024962328772</v>
      </c>
      <c r="F92" s="17">
        <f>E93</f>
        <v>2669.3145727739684</v>
      </c>
      <c r="G92" s="17">
        <f>F93</f>
        <v>5352.6342023972575</v>
      </c>
      <c r="H92" s="17">
        <f>G93</f>
        <v>9258.00656216895</v>
      </c>
    </row>
    <row r="93" spans="2:11">
      <c r="B93" s="18" t="s">
        <v>207</v>
      </c>
      <c r="C93" s="20"/>
      <c r="D93" s="32">
        <f>D91+D92+0+0</f>
        <v>1346.1024962328772</v>
      </c>
      <c r="E93" s="32">
        <f t="shared" ref="E93:F93" si="49">E91+E92+0+0</f>
        <v>2669.3145727739684</v>
      </c>
      <c r="F93" s="32">
        <f t="shared" si="49"/>
        <v>5352.6342023972575</v>
      </c>
      <c r="G93" s="32">
        <f t="shared" ref="G93:H93" si="50">G91+G92+0+0</f>
        <v>9258.00656216895</v>
      </c>
      <c r="H93" s="32">
        <f t="shared" si="50"/>
        <v>14683.706090820089</v>
      </c>
    </row>
    <row r="94" spans="2:11">
      <c r="D94" s="17"/>
      <c r="E94" s="17"/>
      <c r="F94" s="17"/>
    </row>
    <row r="95" spans="2:11" ht="15">
      <c r="B95" s="71" t="s">
        <v>208</v>
      </c>
      <c r="C95" s="72">
        <f>C40-C62</f>
        <v>0</v>
      </c>
      <c r="D95" s="72">
        <f>D40-D62</f>
        <v>0</v>
      </c>
      <c r="E95" s="72">
        <f>E40-E62</f>
        <v>0</v>
      </c>
      <c r="F95" s="72">
        <f>F40-F62</f>
        <v>0</v>
      </c>
      <c r="G95" s="72">
        <f>G40-G62</f>
        <v>0</v>
      </c>
      <c r="H95" s="72">
        <f>H40-H62</f>
        <v>0</v>
      </c>
    </row>
    <row r="96" spans="2:11">
      <c r="D96" s="17"/>
      <c r="E96" s="17"/>
      <c r="F96" s="17"/>
    </row>
    <row r="97" spans="4:10" ht="15">
      <c r="D97" s="50"/>
      <c r="E97" s="50"/>
      <c r="F97" s="50"/>
      <c r="G97" s="50"/>
      <c r="H97" s="50"/>
      <c r="I97" s="50"/>
      <c r="J97" s="50"/>
    </row>
    <row r="98" spans="4:10">
      <c r="D98" s="50"/>
      <c r="E98" s="50"/>
      <c r="F98" s="50"/>
    </row>
    <row r="99" spans="4:10">
      <c r="D99" s="17"/>
      <c r="E99" s="17"/>
      <c r="F99" s="17"/>
    </row>
    <row r="100" spans="4:10">
      <c r="D100" s="33"/>
      <c r="E100" s="33"/>
      <c r="F100" s="33"/>
    </row>
    <row r="116" spans="2:2">
      <c r="B116" s="8"/>
    </row>
    <row r="117" spans="2:2">
      <c r="B117" s="8"/>
    </row>
    <row r="118" spans="2:2">
      <c r="B118" s="8"/>
    </row>
    <row r="119" spans="2:2">
      <c r="B119" s="8"/>
    </row>
    <row r="120" spans="2:2">
      <c r="B120" s="8"/>
    </row>
    <row r="121" spans="2:2">
      <c r="B121" s="8"/>
    </row>
    <row r="122" spans="2:2">
      <c r="B122" s="8"/>
    </row>
    <row r="123" spans="2:2">
      <c r="B123" s="8"/>
    </row>
    <row r="124" spans="2:2">
      <c r="B124" s="8"/>
    </row>
    <row r="125" spans="2:2">
      <c r="B125" s="8"/>
    </row>
    <row r="126" spans="2:2">
      <c r="B126" s="8"/>
    </row>
    <row r="127" spans="2:2" ht="15"/>
    <row r="128" spans="2:2" ht="15"/>
    <row r="129" ht="15"/>
    <row r="130" ht="15"/>
    <row r="131" ht="15"/>
    <row r="133" ht="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8"/>
  <sheetViews>
    <sheetView workbookViewId="0">
      <selection activeCell="G9" sqref="G9"/>
    </sheetView>
  </sheetViews>
  <sheetFormatPr defaultRowHeight="15" customHeight="1"/>
  <cols>
    <col min="1" max="1" width="3" customWidth="1"/>
    <col min="2" max="2" width="25.85546875" customWidth="1"/>
    <col min="3" max="3" width="14.7109375" customWidth="1"/>
    <col min="4" max="4" width="13.85546875" customWidth="1"/>
    <col min="5" max="5" width="13.42578125" customWidth="1"/>
    <col min="6" max="6" width="13.28515625" customWidth="1"/>
    <col min="7" max="7" width="11.5703125" customWidth="1"/>
  </cols>
  <sheetData>
    <row r="2" spans="2:7" ht="15" customHeight="1">
      <c r="B2" s="53" t="s">
        <v>209</v>
      </c>
      <c r="C2" s="23"/>
      <c r="D2" s="23"/>
      <c r="E2" s="23"/>
    </row>
    <row r="3" spans="2:7">
      <c r="B3" s="53" t="s">
        <v>210</v>
      </c>
      <c r="C3" s="53" t="s">
        <v>211</v>
      </c>
      <c r="D3" s="53" t="s">
        <v>212</v>
      </c>
      <c r="E3" s="53" t="s">
        <v>213</v>
      </c>
    </row>
    <row r="4" spans="2:7" ht="14.45">
      <c r="B4" t="s">
        <v>214</v>
      </c>
      <c r="D4" s="49">
        <f>('Historical Data'!D15-'Historical Data'!C15)/'Historical Data'!C15</f>
        <v>0.71125865235202712</v>
      </c>
      <c r="E4" s="49">
        <f>('Historical Data'!E15-'Historical Data'!D15)/'Historical Data'!D15</f>
        <v>0.67104176985306252</v>
      </c>
    </row>
    <row r="5" spans="2:7" ht="14.45">
      <c r="B5" t="s">
        <v>215</v>
      </c>
      <c r="C5">
        <v>0</v>
      </c>
      <c r="D5">
        <v>0</v>
      </c>
      <c r="E5">
        <v>0</v>
      </c>
    </row>
    <row r="6" spans="2:7" ht="14.45">
      <c r="B6" t="s">
        <v>216</v>
      </c>
      <c r="C6" s="85">
        <f>(('Historical Data'!C17-'Historical Data'!C20-'Historical Data'!C21-'Historical Data'!C22-'Historical Data'!C25)/'Historical Data'!C15)</f>
        <v>-7.4586806046051696E-2</v>
      </c>
      <c r="D6" s="49">
        <f>(('Historical Data'!D17-'Historical Data'!D20-'Historical Data'!D21-'Historical Data'!D22-'Historical Data'!D25)/'Historical Data'!D15)</f>
        <v>7.3386164768036985E-2</v>
      </c>
      <c r="E6" s="49">
        <f>(('Historical Data'!E17-'Historical Data'!E20-'Historical Data'!E21-'Historical Data'!E22-'Historical Data'!E25)/'Historical Data'!E15)</f>
        <v>8.46712443807736E-2</v>
      </c>
    </row>
    <row r="7" spans="2:7">
      <c r="B7" t="s">
        <v>217</v>
      </c>
      <c r="C7" s="85">
        <f>C6-('Historical Data'!C24/'Historical Data'!C15)</f>
        <v>-0.13631868908037859</v>
      </c>
      <c r="D7" s="69">
        <f>D6-('Historical Data'!D24/'Historical Data'!D15)</f>
        <v>2.9965329370975735E-2</v>
      </c>
      <c r="E7" s="69">
        <f>E6-('Historical Data'!E24/'Historical Data'!E15)</f>
        <v>4.203922343526157E-2</v>
      </c>
    </row>
    <row r="8" spans="2:7" ht="14.45">
      <c r="B8" t="s">
        <v>218</v>
      </c>
      <c r="C8" s="85">
        <f>'Historical Data'!C29/'Historical Data'!C15</f>
        <v>-0.14945613787258089</v>
      </c>
      <c r="D8" s="49">
        <f>'Historical Data'!D29/'Historical Data'!D15</f>
        <v>2.8974739970282319E-2</v>
      </c>
      <c r="E8" s="49">
        <f>'Historical Data'!E29/'Historical Data'!E15</f>
        <v>2.6033690658499236E-2</v>
      </c>
    </row>
    <row r="9" spans="2:7" ht="15" customHeight="1">
      <c r="B9" t="s">
        <v>133</v>
      </c>
      <c r="C9" s="49">
        <f>'Historical Data'!C22/'Historical Data'!C15</f>
        <v>0.20695013419974573</v>
      </c>
      <c r="D9" s="49">
        <f>'Historical Data'!D22/'Historical Data'!D15</f>
        <v>0.1369489846458643</v>
      </c>
      <c r="E9" s="49">
        <f>'Historical Data'!E22/'Historical Data'!E15</f>
        <v>0.12636466926838907</v>
      </c>
    </row>
    <row r="10" spans="2:7" ht="15" customHeight="1">
      <c r="B10" t="s">
        <v>219</v>
      </c>
      <c r="C10" s="49">
        <f>'Historical Data'!C25/'Historical Data'!C15</f>
        <v>0.76691623110608842</v>
      </c>
      <c r="D10" s="49">
        <f>'Historical Data'!D25/'Historical Data'!D15</f>
        <v>0.62167739805184086</v>
      </c>
      <c r="E10" s="49">
        <f>'Historical Data'!E25/'Historical Data'!E15</f>
        <v>0.56725781751716642</v>
      </c>
    </row>
    <row r="11" spans="2:7" ht="15" customHeight="1">
      <c r="B11" t="s">
        <v>135</v>
      </c>
      <c r="C11" s="49">
        <f>'Historical Data'!C24/'Historical Data'!C15</f>
        <v>6.1731883034326883E-2</v>
      </c>
      <c r="D11" s="49">
        <f>'Historical Data'!D24/'Historical Data'!D15</f>
        <v>4.342083539706125E-2</v>
      </c>
      <c r="E11" s="49">
        <f>'Historical Data'!E24/'Historical Data'!E15</f>
        <v>4.2632020945512029E-2</v>
      </c>
    </row>
    <row r="12" spans="2:7" ht="15" customHeight="1">
      <c r="B12" t="s">
        <v>220</v>
      </c>
      <c r="C12" s="85">
        <f>'Historical Data'!C28/'Historical Data'!C27</f>
        <v>-4.3392504930966469E-2</v>
      </c>
      <c r="D12" s="85">
        <f>'Historical Data'!D28/'Historical Data'!D27</f>
        <v>-0.20618556701030927</v>
      </c>
      <c r="E12" s="49">
        <f>'Historical Data'!E28/'Historical Data'!E27</f>
        <v>0.24390243902439024</v>
      </c>
    </row>
    <row r="14" spans="2:7" ht="15" customHeight="1">
      <c r="B14" s="53" t="s">
        <v>221</v>
      </c>
      <c r="C14" s="23"/>
      <c r="D14" s="23"/>
      <c r="E14" s="23"/>
      <c r="F14" s="23"/>
      <c r="G14" s="23"/>
    </row>
    <row r="15" spans="2:7" ht="15" customHeight="1">
      <c r="B15" s="53" t="s">
        <v>210</v>
      </c>
      <c r="C15" s="53" t="s">
        <v>211</v>
      </c>
      <c r="D15" s="53" t="s">
        <v>212</v>
      </c>
      <c r="E15" s="53" t="s">
        <v>213</v>
      </c>
      <c r="F15" s="53" t="s">
        <v>147</v>
      </c>
      <c r="G15" s="53" t="s">
        <v>148</v>
      </c>
    </row>
    <row r="16" spans="2:7" ht="15" customHeight="1">
      <c r="B16" t="s">
        <v>138</v>
      </c>
      <c r="C16" s="12">
        <f>'Historical Data'!C52/'Historical Data'!C15*365</f>
        <v>23.563356406272071</v>
      </c>
      <c r="D16" s="12">
        <f>'Historical Data'!D52/'Historical Data'!D15*365</f>
        <v>23.923559517913159</v>
      </c>
      <c r="E16" s="12">
        <f>'Historical Data'!E52/'Historical Data'!E15*365</f>
        <v>35.088178629649761</v>
      </c>
    </row>
    <row r="17" spans="2:5" ht="15" customHeight="1">
      <c r="B17" t="s">
        <v>139</v>
      </c>
      <c r="C17" s="12">
        <f>'Historical Data'!C79/'Historical Data'!C20*365</f>
        <v>172.34700973574408</v>
      </c>
      <c r="D17" s="12">
        <f>'Historical Data'!D79/'Historical Data'!D20*365</f>
        <v>112.01593349497747</v>
      </c>
      <c r="E17" s="12">
        <f>'Historical Data'!E79/'Historical Data'!E20*365</f>
        <v>99.175658942154598</v>
      </c>
    </row>
    <row r="18" spans="2:5" ht="15" customHeight="1">
      <c r="B18" t="s">
        <v>222</v>
      </c>
      <c r="C18" s="12">
        <f>'Historical Data'!C50/'Historical Data'!C20*365</f>
        <v>21.067454798331017</v>
      </c>
      <c r="D18" s="12">
        <f>'Historical Data'!D50/'Historical Data'!D20*365</f>
        <v>11.125736058191894</v>
      </c>
      <c r="E18" s="12">
        <f>'Historical Data'!E50/'Historical Data'!E20*365</f>
        <v>11.363877587121882</v>
      </c>
    </row>
    <row r="20" spans="2:5" ht="15" customHeight="1">
      <c r="B20" s="53" t="s">
        <v>223</v>
      </c>
      <c r="C20" s="23"/>
      <c r="D20" s="23"/>
      <c r="E20" s="23"/>
    </row>
    <row r="21" spans="2:5" ht="15" customHeight="1">
      <c r="B21" s="53" t="s">
        <v>124</v>
      </c>
      <c r="C21" s="53" t="s">
        <v>147</v>
      </c>
      <c r="D21" s="53" t="s">
        <v>148</v>
      </c>
      <c r="E21" s="53" t="s">
        <v>149</v>
      </c>
    </row>
    <row r="22" spans="2:5" ht="15" customHeight="1">
      <c r="B22" t="s">
        <v>130</v>
      </c>
      <c r="C22" s="59">
        <f>Assumptions!C3</f>
        <v>0.3</v>
      </c>
      <c r="D22" s="59">
        <f>Assumptions!D3</f>
        <v>0.25</v>
      </c>
      <c r="E22" s="59">
        <f>Assumptions!E3</f>
        <v>0.2</v>
      </c>
    </row>
    <row r="23" spans="2:5" ht="15" customHeight="1">
      <c r="B23" t="s">
        <v>224</v>
      </c>
      <c r="C23" s="66">
        <f>1-Assumptions!C5-Assumptions!C6-Assumptions!C7</f>
        <v>4.4999999999999929E-2</v>
      </c>
      <c r="D23" s="66">
        <f>1-Assumptions!D5-Assumptions!D6-Assumptions!D7</f>
        <v>6.9999999999999951E-2</v>
      </c>
      <c r="E23" s="66">
        <f>1-Assumptions!E5-Assumptions!E6-Assumptions!E7</f>
        <v>9.4999999999999973E-2</v>
      </c>
    </row>
    <row r="24" spans="2:5" ht="15" customHeight="1">
      <c r="B24" t="s">
        <v>137</v>
      </c>
      <c r="C24" s="59">
        <f>Assumptions!C10</f>
        <v>0.25</v>
      </c>
      <c r="D24" s="59">
        <f>Assumptions!D10</f>
        <v>0.25</v>
      </c>
      <c r="E24" s="59">
        <f>Assumptions!E10</f>
        <v>0.25</v>
      </c>
    </row>
    <row r="25" spans="2:5" ht="15" customHeight="1">
      <c r="B25" t="s">
        <v>138</v>
      </c>
      <c r="C25">
        <f>Assumptions!C11</f>
        <v>35</v>
      </c>
      <c r="D25">
        <f>Assumptions!D11</f>
        <v>34</v>
      </c>
      <c r="E25">
        <f>Assumptions!E11</f>
        <v>33</v>
      </c>
    </row>
    <row r="26" spans="2:5" ht="15" customHeight="1">
      <c r="B26" t="s">
        <v>139</v>
      </c>
      <c r="C26">
        <f>Assumptions!C12</f>
        <v>95</v>
      </c>
      <c r="D26">
        <f>Assumptions!D12</f>
        <v>92</v>
      </c>
      <c r="E26">
        <f>Assumptions!E12</f>
        <v>90</v>
      </c>
    </row>
    <row r="27" spans="2:5" ht="15" customHeight="1">
      <c r="B27" t="s">
        <v>141</v>
      </c>
      <c r="C27" s="59">
        <f>Assumptions!C13</f>
        <v>0.06</v>
      </c>
      <c r="D27" s="59">
        <f>Assumptions!D13</f>
        <v>0.06</v>
      </c>
      <c r="E27" s="59">
        <f>Assumptions!E13</f>
        <v>0.05</v>
      </c>
    </row>
    <row r="29" spans="2:5" ht="15" customHeight="1">
      <c r="B29" s="34"/>
      <c r="C29" s="2"/>
      <c r="D29" s="2"/>
      <c r="E29" s="2"/>
    </row>
    <row r="30" spans="2:5" ht="15" customHeight="1">
      <c r="B30" s="8"/>
    </row>
    <row r="31" spans="2:5" ht="15" customHeight="1">
      <c r="B31" s="8"/>
    </row>
    <row r="32" spans="2:5" ht="15" customHeight="1">
      <c r="B32" s="8"/>
    </row>
    <row r="33" spans="2:2" ht="15" customHeight="1">
      <c r="B33" s="8"/>
    </row>
    <row r="34" spans="2:2" ht="15" customHeight="1">
      <c r="B34" s="8"/>
    </row>
    <row r="35" spans="2:2" ht="15" customHeight="1">
      <c r="B35" s="8"/>
    </row>
    <row r="36" spans="2:2" ht="15" customHeight="1">
      <c r="B36" s="8"/>
    </row>
    <row r="37" spans="2:2" ht="15" customHeight="1">
      <c r="B37" s="8"/>
    </row>
    <row r="38" spans="2:2" ht="15" customHeight="1">
      <c r="B3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67"/>
  <sheetViews>
    <sheetView topLeftCell="A46" zoomScale="85" zoomScaleNormal="85" workbookViewId="0">
      <selection activeCell="I58" sqref="I58"/>
    </sheetView>
  </sheetViews>
  <sheetFormatPr defaultRowHeight="15" customHeight="1"/>
  <cols>
    <col min="1" max="1" width="3.42578125" customWidth="1"/>
    <col min="2" max="2" width="42.7109375" customWidth="1"/>
    <col min="3" max="3" width="13.42578125" customWidth="1"/>
    <col min="4" max="4" width="14.85546875" customWidth="1"/>
    <col min="5" max="5" width="13.7109375" customWidth="1"/>
    <col min="6" max="6" width="14.5703125" bestFit="1" customWidth="1"/>
  </cols>
  <sheetData>
    <row r="2" spans="2:8">
      <c r="B2" s="53" t="s">
        <v>225</v>
      </c>
      <c r="C2" s="24" t="s">
        <v>147</v>
      </c>
      <c r="D2" s="24" t="s">
        <v>148</v>
      </c>
      <c r="E2" s="24" t="s">
        <v>149</v>
      </c>
    </row>
    <row r="3" spans="2:8">
      <c r="B3" s="1" t="s">
        <v>158</v>
      </c>
      <c r="C3" s="17">
        <f>'Financial Model'!D4</f>
        <v>26315.9</v>
      </c>
      <c r="D3" s="17">
        <f>'Financial Model'!E4</f>
        <v>32894.875</v>
      </c>
      <c r="E3" s="17">
        <f>'Financial Model'!F4</f>
        <v>39473.85</v>
      </c>
    </row>
    <row r="4" spans="2:8">
      <c r="B4" s="1" t="s">
        <v>214</v>
      </c>
      <c r="C4" s="59">
        <f>'Financial Model'!D4/'Financial Model'!C4-1</f>
        <v>0.30000000000000004</v>
      </c>
      <c r="D4" s="59">
        <f>'Financial Model'!E4/'Financial Model'!D4-1</f>
        <v>0.25</v>
      </c>
      <c r="E4" s="59">
        <f>'Financial Model'!F4/'Financial Model'!E4-1</f>
        <v>0.19999999999999996</v>
      </c>
    </row>
    <row r="5" spans="2:8">
      <c r="B5" s="1" t="s">
        <v>226</v>
      </c>
      <c r="C5" s="17">
        <f>'Financial Model'!D13+'Financial Model'!D10+'Financial Model'!D9</f>
        <v>2368.9155000000005</v>
      </c>
      <c r="D5" s="17">
        <f>'Financial Model'!E13+'Financial Model'!E10+'Financial Model'!E9</f>
        <v>3605.8112499999934</v>
      </c>
      <c r="E5" s="17">
        <f>'Financial Model'!F13+'Financial Model'!F10+'Financial Model'!F9</f>
        <v>5183.5027500000015</v>
      </c>
    </row>
    <row r="6" spans="2:8">
      <c r="B6" s="1" t="s">
        <v>227</v>
      </c>
      <c r="C6" s="66">
        <f>C5/'Financial Model'!D4</f>
        <v>9.0018410922674139E-2</v>
      </c>
      <c r="D6" s="66">
        <f>D5/'Financial Model'!E4</f>
        <v>0.10961620161195303</v>
      </c>
      <c r="E6" s="66">
        <f>E5/'Financial Model'!F4</f>
        <v>0.13131485147762384</v>
      </c>
    </row>
    <row r="7" spans="2:8">
      <c r="B7" s="1" t="s">
        <v>228</v>
      </c>
      <c r="C7" s="17">
        <f>'Financial Model'!D15</f>
        <v>871.70962500000041</v>
      </c>
      <c r="D7" s="17">
        <f>'Financial Model'!E15</f>
        <v>1602.012187499995</v>
      </c>
      <c r="E7" s="17">
        <f>'Financial Model'!F15</f>
        <v>2587.9115625000013</v>
      </c>
    </row>
    <row r="8" spans="2:8">
      <c r="B8" s="1" t="s">
        <v>229</v>
      </c>
      <c r="C8" s="66">
        <f>C7/'Financial Model'!D4</f>
        <v>3.3124826625728188E-2</v>
      </c>
      <c r="D8" s="66">
        <f>D7/'Financial Model'!E4</f>
        <v>4.8700965955942831E-2</v>
      </c>
      <c r="E8" s="66">
        <f>E7/'Financial Model'!F4</f>
        <v>6.5560150897366262E-2</v>
      </c>
    </row>
    <row r="10" spans="2:8">
      <c r="B10" s="53" t="s">
        <v>230</v>
      </c>
      <c r="C10" s="24" t="s">
        <v>147</v>
      </c>
      <c r="D10" s="24" t="s">
        <v>148</v>
      </c>
      <c r="E10" s="24" t="s">
        <v>149</v>
      </c>
      <c r="H10" s="66"/>
    </row>
    <row r="11" spans="2:8">
      <c r="B11" s="1" t="s">
        <v>231</v>
      </c>
      <c r="C11" s="17">
        <f>'Financial Model'!D28-'Financial Model'!D60</f>
        <v>9388.3916250000002</v>
      </c>
      <c r="D11" s="17">
        <f>'Financial Model'!E28-'Financial Model'!E60</f>
        <v>11022.506312499994</v>
      </c>
      <c r="E11" s="17">
        <f>'Financial Model'!F28-'Financial Model'!F60</f>
        <v>13985.679374999996</v>
      </c>
    </row>
    <row r="12" spans="2:8">
      <c r="B12" s="1" t="s">
        <v>232</v>
      </c>
      <c r="C12">
        <v>0</v>
      </c>
      <c r="D12">
        <v>0</v>
      </c>
      <c r="E12">
        <v>0</v>
      </c>
    </row>
    <row r="13" spans="2:8">
      <c r="B13" s="1" t="s">
        <v>233</v>
      </c>
      <c r="C13" s="17">
        <f>('Financial Model'!D27+'Financial Model'!D24+'Financial Model'!D23)-('Financial Model'!D49+'Financial Model'!D55)</f>
        <v>4361.1024962328775</v>
      </c>
      <c r="D13" s="17">
        <f>('Financial Model'!E27+'Financial Model'!E24+'Financial Model'!E23)-('Financial Model'!E49+'Financial Model'!E55)</f>
        <v>5509.3145727739684</v>
      </c>
      <c r="E13" s="17">
        <f>('Financial Model'!F27+'Financial Model'!F24+'Financial Model'!F23)-('Financial Model'!F49+'Financial Model'!F55)</f>
        <v>8042.6342023972575</v>
      </c>
    </row>
    <row r="15" spans="2:8">
      <c r="B15" s="53" t="s">
        <v>234</v>
      </c>
      <c r="C15" s="24" t="s">
        <v>147</v>
      </c>
      <c r="D15" s="24" t="s">
        <v>148</v>
      </c>
      <c r="E15" s="24" t="s">
        <v>149</v>
      </c>
    </row>
    <row r="16" spans="2:8">
      <c r="B16" s="1" t="s">
        <v>235</v>
      </c>
      <c r="C16" s="17">
        <f>'Financial Model'!D77</f>
        <v>1308.3564962328771</v>
      </c>
      <c r="D16" s="17">
        <f>'Financial Model'!E77</f>
        <v>2272.734576541091</v>
      </c>
      <c r="E16" s="17">
        <f>'Financial Model'!F77</f>
        <v>3477.5251296232886</v>
      </c>
    </row>
    <row r="17" spans="2:8">
      <c r="B17" s="1" t="s">
        <v>236</v>
      </c>
      <c r="C17" s="17">
        <f>'Financial Model'!D77+'Financial Model'!D80</f>
        <v>-270.59750376712282</v>
      </c>
      <c r="D17" s="17">
        <f>'Financial Model'!E77+'Financial Model'!E80</f>
        <v>299.04207654109109</v>
      </c>
      <c r="E17" s="17">
        <f>'Financial Model'!F77+'Financial Model'!F80</f>
        <v>1503.8326296232885</v>
      </c>
    </row>
    <row r="18" spans="2:8">
      <c r="B18" s="1"/>
      <c r="C18" s="1"/>
    </row>
    <row r="19" spans="2:8">
      <c r="B19" s="53" t="s">
        <v>237</v>
      </c>
      <c r="C19" s="24" t="s">
        <v>238</v>
      </c>
    </row>
    <row r="20" spans="2:8">
      <c r="B20" t="s">
        <v>239</v>
      </c>
      <c r="C20" s="51">
        <v>0.11</v>
      </c>
    </row>
    <row r="21" spans="2:8">
      <c r="B21" t="s">
        <v>240</v>
      </c>
      <c r="C21" s="51">
        <v>0.04</v>
      </c>
    </row>
    <row r="22" spans="2:8">
      <c r="B22" t="s">
        <v>241</v>
      </c>
      <c r="C22" s="52" t="s">
        <v>151</v>
      </c>
    </row>
    <row r="23" spans="2:8">
      <c r="B23" t="s">
        <v>242</v>
      </c>
      <c r="C23">
        <f>'Historical Data'!E63</f>
        <v>907</v>
      </c>
    </row>
    <row r="24" spans="2:8">
      <c r="B24" s="1"/>
      <c r="C24" s="1"/>
    </row>
    <row r="25" spans="2:8">
      <c r="B25" s="54" t="s">
        <v>243</v>
      </c>
      <c r="C25" s="24" t="s">
        <v>213</v>
      </c>
      <c r="D25" s="24" t="s">
        <v>147</v>
      </c>
      <c r="E25" s="24" t="s">
        <v>148</v>
      </c>
      <c r="F25" s="24" t="s">
        <v>149</v>
      </c>
      <c r="G25" s="24" t="s">
        <v>150</v>
      </c>
      <c r="H25" s="24" t="s">
        <v>151</v>
      </c>
    </row>
    <row r="26" spans="2:8">
      <c r="B26" s="55" t="s">
        <v>244</v>
      </c>
      <c r="D26" s="17">
        <f>'Financial Model'!D13+'Financial Model'!D10</f>
        <v>1316.2795000000006</v>
      </c>
      <c r="E26" s="17">
        <f>'Financial Model'!E13+'Financial Model'!E10</f>
        <v>2290.0162499999933</v>
      </c>
      <c r="F26" s="17">
        <f>'Financial Model'!F13+'Financial Model'!F10</f>
        <v>3604.5487500000017</v>
      </c>
      <c r="G26" s="17">
        <f>'Financial Model'!G13+'Financial Model'!G10</f>
        <v>5208.4299000000028</v>
      </c>
      <c r="H26" s="17">
        <f>'Financial Model'!H13+'Financial Model'!H10</f>
        <v>6564.5395559999961</v>
      </c>
    </row>
    <row r="27" spans="2:8">
      <c r="B27" s="55" t="s">
        <v>163</v>
      </c>
      <c r="D27" s="17">
        <f>D26*Assumptions!C10</f>
        <v>329.06987500000014</v>
      </c>
      <c r="E27" s="17">
        <f>E26*Assumptions!D10</f>
        <v>572.50406249999833</v>
      </c>
      <c r="F27" s="17">
        <f>F26*Assumptions!E10</f>
        <v>901.13718750000044</v>
      </c>
      <c r="G27" s="17">
        <f>G26*Assumptions!F10</f>
        <v>1302.1074750000007</v>
      </c>
      <c r="H27" s="17">
        <f>H26*Assumptions!G10</f>
        <v>1641.134888999999</v>
      </c>
    </row>
    <row r="28" spans="2:8">
      <c r="B28" s="55" t="s">
        <v>245</v>
      </c>
      <c r="D28" s="17">
        <f>D26-D27</f>
        <v>987.20962500000041</v>
      </c>
      <c r="E28" s="17">
        <f t="shared" ref="E28:H28" si="0">E26-E27</f>
        <v>1717.512187499995</v>
      </c>
      <c r="F28" s="17">
        <f t="shared" si="0"/>
        <v>2703.4115625000013</v>
      </c>
      <c r="G28" s="17">
        <f t="shared" si="0"/>
        <v>3906.3224250000021</v>
      </c>
      <c r="H28" s="17">
        <f t="shared" si="0"/>
        <v>4923.4046669999971</v>
      </c>
    </row>
    <row r="29" spans="2:8">
      <c r="B29" s="4" t="s">
        <v>246</v>
      </c>
      <c r="D29" s="17">
        <f>'Financial Model'!D9</f>
        <v>1052.636</v>
      </c>
      <c r="E29" s="17">
        <f>'Financial Model'!E9</f>
        <v>1315.7950000000001</v>
      </c>
      <c r="F29" s="17">
        <f>'Financial Model'!F9</f>
        <v>1578.954</v>
      </c>
      <c r="G29" s="17">
        <f>'Financial Model'!G9</f>
        <v>1815.7971</v>
      </c>
      <c r="H29" s="17">
        <f>'Financial Model'!H9</f>
        <v>2033.6927520000002</v>
      </c>
    </row>
    <row r="30" spans="2:8">
      <c r="B30" s="4" t="s">
        <v>247</v>
      </c>
      <c r="D30" s="17">
        <f>'Financial Model'!D80</f>
        <v>-1578.954</v>
      </c>
      <c r="E30" s="17">
        <f>'Financial Model'!E80</f>
        <v>-1973.6924999999999</v>
      </c>
      <c r="F30" s="17">
        <f>'Financial Model'!F80</f>
        <v>-1973.6925000000001</v>
      </c>
      <c r="G30" s="17">
        <f>'Financial Model'!G80</f>
        <v>-2269.7463750000002</v>
      </c>
      <c r="H30" s="17">
        <f>'Financial Model'!H80</f>
        <v>-2033.6927520000002</v>
      </c>
    </row>
    <row r="31" spans="2:8">
      <c r="B31" s="1" t="s">
        <v>248</v>
      </c>
      <c r="D31" s="17">
        <f>'Financial Model'!D21+'Financial Model'!D22+'Financial Model'!D26-'Financial Model'!D58-'Financial Model'!D57</f>
        <v>1441.2891287671232</v>
      </c>
      <c r="E31" s="17">
        <f>'Financial Model'!E21+'Financial Model'!E22+'Financial Model'!E26-'Financial Model'!E58-'Financial Model'!E57</f>
        <v>1787.1917397260268</v>
      </c>
      <c r="F31" s="17">
        <f>'Financial Model'!F21+'Financial Model'!F22+'Financial Model'!F26-'Financial Model'!F58-'Financial Model'!F57</f>
        <v>2097.0451726027395</v>
      </c>
      <c r="G31" s="17">
        <f>'Financial Model'!G21+'Financial Model'!G22+'Financial Model'!G26-'Financial Model'!G58-'Financial Model'!G57</f>
        <v>2356.879296164384</v>
      </c>
      <c r="H31" s="17">
        <f>'Financial Model'!H21+'Financial Model'!H22+'Financial Model'!H26-'Financial Model'!H58-'Financial Model'!H57</f>
        <v>2617.4177678465744</v>
      </c>
    </row>
    <row r="32" spans="2:8">
      <c r="B32" s="4" t="s">
        <v>249</v>
      </c>
      <c r="C32" s="17">
        <f>'Financial Model'!C21+'Financial Model'!C22+'Financial Model'!C26-'Financial Model'!C58-'Financial Model'!C57</f>
        <v>1058</v>
      </c>
      <c r="D32" s="17">
        <f>D31-C32</f>
        <v>383.2891287671232</v>
      </c>
      <c r="E32" s="17">
        <f>E31-D31</f>
        <v>345.90261095890355</v>
      </c>
      <c r="F32" s="17">
        <f>F31-E31</f>
        <v>309.85343287671276</v>
      </c>
      <c r="G32" s="17">
        <f>G31-F31</f>
        <v>259.83412356164445</v>
      </c>
      <c r="H32" s="17">
        <f>H31-G31</f>
        <v>260.53847168219045</v>
      </c>
    </row>
    <row r="33" spans="2:10">
      <c r="B33" s="18" t="s">
        <v>250</v>
      </c>
      <c r="C33" s="18"/>
      <c r="D33" s="13">
        <f>D28+D29+D30-D32</f>
        <v>77.602496232877229</v>
      </c>
      <c r="E33" s="13">
        <f t="shared" ref="E33:H33" si="1">E28+E29+E30-E32</f>
        <v>713.71207654109162</v>
      </c>
      <c r="F33" s="32">
        <f t="shared" si="1"/>
        <v>1998.8196296232882</v>
      </c>
      <c r="G33" s="32">
        <f t="shared" si="1"/>
        <v>3192.5390264383573</v>
      </c>
      <c r="H33" s="32">
        <f t="shared" si="1"/>
        <v>4662.8661953178071</v>
      </c>
      <c r="I33" s="40"/>
      <c r="J33" s="40"/>
    </row>
    <row r="34" spans="2:10">
      <c r="B34" t="s">
        <v>251</v>
      </c>
      <c r="D34" s="56">
        <f>1/(1+C20)^1</f>
        <v>0.9009009009009008</v>
      </c>
      <c r="E34" s="56">
        <f>1/(1+C20)^2</f>
        <v>0.8116224332440547</v>
      </c>
      <c r="F34" s="56">
        <f>1/(1+C20)^3</f>
        <v>0.73119138130095018</v>
      </c>
      <c r="G34" s="56">
        <f>1/(1+C20)^4</f>
        <v>0.65873097414500015</v>
      </c>
      <c r="H34" s="56">
        <f>1/(1+C20)^5</f>
        <v>0.5934513280585586</v>
      </c>
    </row>
    <row r="35" spans="2:10">
      <c r="B35" s="18" t="s">
        <v>252</v>
      </c>
      <c r="C35" s="18"/>
      <c r="D35" s="13">
        <f>D33*D34</f>
        <v>69.912158768357855</v>
      </c>
      <c r="E35" s="13">
        <f t="shared" ref="E35:F35" si="2">E33*E34</f>
        <v>579.26473219794775</v>
      </c>
      <c r="F35" s="32">
        <f t="shared" si="2"/>
        <v>1461.5196859557057</v>
      </c>
      <c r="G35" s="32">
        <f t="shared" ref="G35" si="3">G33*G34</f>
        <v>2103.0243428816693</v>
      </c>
      <c r="H35" s="32">
        <f t="shared" ref="H35" si="4">H33*H34</f>
        <v>2767.1841361707111</v>
      </c>
    </row>
    <row r="36" spans="2:10">
      <c r="B36" t="s">
        <v>253</v>
      </c>
      <c r="F36" s="17"/>
      <c r="G36" s="17"/>
      <c r="H36" s="17">
        <f>H33*(1+C21)/(C20-C21)</f>
        <v>69276.86918757885</v>
      </c>
    </row>
    <row r="37" spans="2:10">
      <c r="B37" s="2" t="s">
        <v>254</v>
      </c>
      <c r="C37" s="2"/>
      <c r="E37" s="2"/>
      <c r="F37" s="17"/>
      <c r="G37" s="17"/>
      <c r="H37" s="32">
        <f>H36*H34</f>
        <v>41112.450023107704</v>
      </c>
    </row>
    <row r="39" spans="2:10">
      <c r="B39" s="53" t="s">
        <v>255</v>
      </c>
      <c r="C39" s="53"/>
      <c r="D39" s="24" t="s">
        <v>238</v>
      </c>
    </row>
    <row r="40" spans="2:10">
      <c r="B40" t="s">
        <v>256</v>
      </c>
      <c r="D40" s="17">
        <f>SUM(D35:H35)+H37</f>
        <v>48093.355079082095</v>
      </c>
    </row>
    <row r="41" spans="2:10">
      <c r="B41" t="s">
        <v>257</v>
      </c>
      <c r="D41" s="17">
        <f>'Financial Model'!H27+'Financial Model'!H23+'Financial Model'!H24</f>
        <v>19903.706090820087</v>
      </c>
    </row>
    <row r="42" spans="2:10">
      <c r="B42" t="s">
        <v>258</v>
      </c>
      <c r="D42" s="17">
        <f>'Financial Model'!H55+'Financial Model'!H49</f>
        <v>2833.3333333333321</v>
      </c>
    </row>
    <row r="43" spans="2:10">
      <c r="B43" t="s">
        <v>259</v>
      </c>
      <c r="D43" s="17">
        <f>D40+D41-D42</f>
        <v>65163.727836568854</v>
      </c>
    </row>
    <row r="44" spans="2:10">
      <c r="B44" t="s">
        <v>242</v>
      </c>
      <c r="D44" s="17">
        <f>C23</f>
        <v>907</v>
      </c>
    </row>
    <row r="45" spans="2:10">
      <c r="B45" t="s">
        <v>260</v>
      </c>
      <c r="D45" s="58">
        <f>D43/D44</f>
        <v>71.845344913526858</v>
      </c>
    </row>
    <row r="47" spans="2:10">
      <c r="B47" s="53" t="s">
        <v>261</v>
      </c>
      <c r="C47" s="53"/>
      <c r="D47" s="23"/>
      <c r="E47" s="23"/>
      <c r="F47" s="23"/>
    </row>
    <row r="48" spans="2:10">
      <c r="B48" s="53" t="s">
        <v>262</v>
      </c>
      <c r="C48" s="53"/>
      <c r="D48" s="68">
        <v>0.03</v>
      </c>
      <c r="E48" s="68">
        <v>0.04</v>
      </c>
      <c r="F48" s="68">
        <v>0.05</v>
      </c>
    </row>
    <row r="49" spans="2:6">
      <c r="B49" s="67">
        <v>0.1</v>
      </c>
      <c r="C49" s="67"/>
      <c r="D49" s="58">
        <v>73.77</v>
      </c>
      <c r="E49">
        <v>82.13</v>
      </c>
      <c r="F49">
        <v>93.84</v>
      </c>
    </row>
    <row r="50" spans="2:6">
      <c r="B50" s="67">
        <v>0.11</v>
      </c>
      <c r="C50" s="67"/>
      <c r="D50">
        <v>65.8</v>
      </c>
      <c r="E50" s="94">
        <v>71.849999999999994</v>
      </c>
      <c r="F50">
        <v>79.91</v>
      </c>
    </row>
    <row r="51" spans="2:6">
      <c r="B51" s="67">
        <v>0.12</v>
      </c>
      <c r="C51" s="67"/>
      <c r="D51">
        <v>59.63</v>
      </c>
      <c r="E51">
        <v>64.17</v>
      </c>
      <c r="F51">
        <v>70</v>
      </c>
    </row>
    <row r="53" spans="2:6">
      <c r="B53" s="53" t="s">
        <v>263</v>
      </c>
      <c r="C53" s="53"/>
      <c r="D53" s="53"/>
      <c r="E53" s="53"/>
      <c r="F53" s="53"/>
    </row>
    <row r="54" spans="2:6">
      <c r="B54" s="53" t="s">
        <v>264</v>
      </c>
      <c r="C54" s="53"/>
      <c r="D54" s="24" t="s">
        <v>239</v>
      </c>
      <c r="E54" s="24" t="s">
        <v>265</v>
      </c>
      <c r="F54" s="24" t="s">
        <v>266</v>
      </c>
    </row>
    <row r="55" spans="2:6">
      <c r="B55" t="s">
        <v>267</v>
      </c>
      <c r="D55" s="59">
        <v>0.12</v>
      </c>
      <c r="E55" s="59">
        <v>0.03</v>
      </c>
      <c r="F55" s="83">
        <f>D51</f>
        <v>59.63</v>
      </c>
    </row>
    <row r="56" spans="2:6">
      <c r="B56" t="s">
        <v>268</v>
      </c>
      <c r="D56" s="59">
        <v>0.11</v>
      </c>
      <c r="E56" s="59">
        <v>0.04</v>
      </c>
      <c r="F56" s="83">
        <f>E50</f>
        <v>71.849999999999994</v>
      </c>
    </row>
    <row r="57" spans="2:6">
      <c r="B57" t="s">
        <v>269</v>
      </c>
      <c r="D57" s="59">
        <v>0.1</v>
      </c>
      <c r="E57" s="59">
        <v>0.05</v>
      </c>
      <c r="F57" s="83">
        <f>F49</f>
        <v>93.84</v>
      </c>
    </row>
    <row r="59" spans="2:6">
      <c r="B59" s="53" t="s">
        <v>270</v>
      </c>
      <c r="C59" s="53"/>
      <c r="D59" s="53"/>
    </row>
    <row r="60" spans="2:6">
      <c r="B60" s="53" t="s">
        <v>271</v>
      </c>
      <c r="C60" s="53"/>
      <c r="D60" s="24" t="s">
        <v>238</v>
      </c>
    </row>
    <row r="61" spans="2:6">
      <c r="B61" t="s">
        <v>272</v>
      </c>
      <c r="D61">
        <v>264</v>
      </c>
    </row>
    <row r="62" spans="2:6">
      <c r="B62" t="s">
        <v>273</v>
      </c>
      <c r="D62">
        <f>F56</f>
        <v>71.849999999999994</v>
      </c>
    </row>
    <row r="63" spans="2:6">
      <c r="B63" t="s">
        <v>274</v>
      </c>
      <c r="D63" s="59">
        <f>(D61-D62)/D62</f>
        <v>2.6743215031315244</v>
      </c>
    </row>
    <row r="64" spans="2:6">
      <c r="B64" t="s">
        <v>275</v>
      </c>
      <c r="D64" s="51">
        <v>9.5899999999999999E-2</v>
      </c>
    </row>
    <row r="65" spans="2:4">
      <c r="B65" t="s">
        <v>276</v>
      </c>
      <c r="D65" s="51">
        <v>5.7200000000000001E-2</v>
      </c>
    </row>
    <row r="66" spans="2:4"/>
    <row r="67" spans="2: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2026-06-09T12:32:21Z</dcterms:created>
  <dcterms:modified xsi:type="dcterms:W3CDTF">2026-06-24T10:54:12Z</dcterms:modified>
  <cp:category/>
  <cp:contentStatus/>
</cp:coreProperties>
</file>